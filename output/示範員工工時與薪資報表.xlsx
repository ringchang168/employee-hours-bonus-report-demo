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78120006fb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月總覽" sheetId="1" r:id="R68de8a584bc3401c"/>
    <x:sheet xmlns:r="http://schemas.openxmlformats.org/officeDocument/2006/relationships" name="示範薪資計算" sheetId="2" r:id="R72928cf70e5f45ee"/>
    <x:sheet xmlns:r="http://schemas.openxmlformats.org/officeDocument/2006/relationships" name="示範薪資單" sheetId="3" r:id="Rec26b979324c4ac9"/>
    <x:sheet xmlns:r="http://schemas.openxmlformats.org/officeDocument/2006/relationships" name="每日工時" sheetId="4" r:id="R9c08bcc27c7b4264"/>
    <x:sheet xmlns:r="http://schemas.openxmlformats.org/officeDocument/2006/relationships" name="示範規則" sheetId="5" r:id="R36f640700d0b4c4d"/>
    <x:sheet xmlns:r="http://schemas.openxmlformats.org/officeDocument/2006/relationships" name="虛構服務紀錄" sheetId="6" r:id="R937e566d2315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"/>
    <x:numFmt numFmtId="202" formatCode="yyyy-mm-dd"/>
    <x:numFmt numFmtId="203" formatCode="0.0"/>
  </x:numFmts>
  <x:fonts count="5">
    <x:font>
      <x:sz val="11"/>
      <x:name val="Carlito"/>
    </x:font>
    <x:font>
      <x:sz val="10"/>
      <x:color rgb="FF1E2E3B"/>
      <x:name val="Arial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0BF"/>
      </x:patternFill>
    </x:fill>
    <x:fill>
      <x:patternFill patternType="solid">
        <x:fgColor rgb="FFF5F8FA"/>
      </x:patternFill>
    </x:fill>
    <x:fill>
      <x:patternFill patternType="solid">
        <x:fgColor rgb="FFE8F1F7"/>
      </x:patternFill>
    </x:fill>
    <x:fill>
      <x:patternFill patternType="solid">
        <x:fgColor rgb="FF285B8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ABBC9"/>
      </x:bottom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/>
    <x:xf numFmtId="0" fontId="1" fillId="3" borderId="0" xfId="0" applyNumberFormat="1" applyFont="1" applyFill="1" applyBorder="1"/>
    <x:xf numFmtId="200" fontId="1" fillId="3" borderId="1" xfId="0" applyNumberFormat="1" applyFont="1" applyFill="1" applyBorder="1"/>
    <x:xf numFmtId="201" fontId="1" fillId="3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4" borderId="0" xfId="0" applyNumberFormat="1" applyFont="1" applyFill="1" applyBorder="1"/>
    <x:xf numFmtId="202" fontId="1" fillId="4" borderId="0" xfId="0" applyNumberFormat="1" applyFont="1" applyFill="1" applyBorder="1"/>
    <x:xf numFmtId="20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201" fontId="1" fillId="0" borderId="0" xfId="0" applyNumberFormat="1" applyFont="1" applyFill="1" applyBorder="1"/>
    <x:xf numFmtId="201" fontId="4" fillId="5" borderId="0" xfId="0" applyNumberFormat="1" applyFont="1" applyFill="1" applyBorder="1"/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3" fontId="4" fillId="5" borderId="0" xfId="0" applyNumberFormat="1" applyFont="1" applyFill="1" applyBorder="1"/>
    <x:xf numFmtId="0" fontId="1" fillId="6" borderId="0" xfId="0" applyNumberFormat="1" applyFont="1" applyFill="1" applyBorder="1"/>
    <x:xf numFmtId="0" fontId="3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d5a53e205c487c" /><Relationship Type="http://schemas.openxmlformats.org/officeDocument/2006/relationships/theme" Target="/xl/theme/theme1.xml" Id="R0ef9eaa6804f407b" /><Relationship Type="http://schemas.openxmlformats.org/officeDocument/2006/relationships/sharedStrings" Target="/xl/sharedStrings.xml" Id="Rc7d6914a70414084" /><Relationship Type="http://schemas.openxmlformats.org/officeDocument/2006/relationships/worksheet" Target="/xl/worksheets/sheet1.xml" Id="R68de8a584bc3401c" /><Relationship Type="http://schemas.openxmlformats.org/officeDocument/2006/relationships/worksheet" Target="/xl/worksheets/sheet2.xml" Id="R72928cf70e5f45ee" /><Relationship Type="http://schemas.openxmlformats.org/officeDocument/2006/relationships/worksheet" Target="/xl/worksheets/sheet3.xml" Id="Rec26b979324c4ac9" /><Relationship Type="http://schemas.openxmlformats.org/officeDocument/2006/relationships/worksheet" Target="/xl/worksheets/sheet4.xml" Id="R9c08bcc27c7b4264" /><Relationship Type="http://schemas.openxmlformats.org/officeDocument/2006/relationships/worksheet" Target="/xl/worksheets/sheet5.xml" Id="R36f640700d0b4c4d" /><Relationship Type="http://schemas.openxmlformats.org/officeDocument/2006/relationships/worksheet" Target="/xl/worksheets/sheet6.xml" Id="R937e566d231544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5" hidden="0" customWidth="1"/>
    <x:col min="4" max="4" width="16" hidden="0" customWidth="1"/>
    <x:col min="5" max="5" width="17" hidden="0" customWidth="1"/>
    <x:col min="6" max="6" width="17" hidden="0" customWidth="1"/>
    <x:col min="7" max="7" width="21" hidden="0" customWidth="1"/>
    <x:col min="8" max="8" width="21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6" customHeight="1">
      <x:c r="A2" s="2" t="str">
        <x:v>員工工時與示範薪資總覽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2025 年 5 月・5 位虛構員工；金額僅供作品示範。</x:v>
      </x:c>
      <x:c r="B3" s="3"/>
      <x:c r="C3" s="3"/>
      <x:c r="D3" s="3"/>
      <x:c r="E3" s="3"/>
      <x:c r="F3" s="3"/>
      <x:c r="G3" s="3"/>
      <x:c r="H3" s="3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4" customHeight="1">
      <x:c r="A5" s="7" t="str">
        <x:v>員工代碼</x:v>
      </x:c>
      <x:c r="B5" s="7" t="str">
        <x:v>顯示名稱</x:v>
      </x:c>
      <x:c r="C5" s="7" t="str">
        <x:v>上班類型</x:v>
      </x:c>
      <x:c r="D5" s="7" t="str">
        <x:v>服務時數</x:v>
      </x:c>
      <x:c r="E5" s="7" t="str">
        <x:v>轉場分鐘</x:v>
      </x:c>
      <x:c r="F5" s="7" t="str">
        <x:v>示範獎金</x:v>
      </x:c>
      <x:c r="G5" s="7" t="str">
        <x:v>其他示範金額</x:v>
      </x:c>
      <x:c r="H5" s="7" t="str">
        <x:v>示範應發合計</x:v>
      </x:c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" t="str">
        <x:v>E01</x:v>
      </x:c>
      <x:c r="B6" s="1" t="str">
        <x:v>示範員工A</x:v>
      </x:c>
      <x:c r="C6" s="1" t="str">
        <x:v>類型1</x:v>
      </x:c>
      <x:c r="D6" s="23" t="n">
        <x:f>ROUND(SUMIFS('每日工時'!$E$6:$E$86,'每日工時'!$A$6:$A$86,A6)/60,1)</x:f>
        <x:v>100</x:v>
      </x:c>
      <x:c r="E6" s="14" t="n">
        <x:f>SUMIFS('每日工時'!$K$6:$K$86,'每日工時'!$A$6:$A$86,A6)</x:f>
        <x:v>15</x:v>
      </x:c>
      <x:c r="F6" s="14" t="n">
        <x:f>'示範薪資計算'!F12</x:f>
        <x:v>1000</x:v>
      </x:c>
      <x:c r="G6" s="14" t="n">
        <x:f>H6-F6</x:f>
        <x:v>20550</x:v>
      </x:c>
      <x:c r="H6" s="14" t="n">
        <x:f>'示範薪資計算'!F13</x:f>
        <x:v>21550</x:v>
      </x:c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A7" s="15" t="str">
        <x:v>E02</x:v>
      </x:c>
      <x:c r="B7" s="15" t="str">
        <x:v>示範員工B</x:v>
      </x:c>
      <x:c r="C7" s="15" t="str">
        <x:v>類型1</x:v>
      </x:c>
      <x:c r="D7" s="24" t="n">
        <x:f>ROUND(SUMIFS('每日工時'!$E$6:$E$86,'每日工時'!$A$6:$A$86,A7)/60,1)</x:f>
        <x:v>95</x:v>
      </x:c>
      <x:c r="E7" s="17" t="n">
        <x:f>SUMIFS('每日工時'!$K$6:$K$86,'每日工時'!$A$6:$A$86,A7)</x:f>
        <x:v>0</x:v>
      </x:c>
      <x:c r="F7" s="17" t="n">
        <x:f>'示範薪資計算'!F21</x:f>
        <x:v>0</x:v>
      </x:c>
      <x:c r="G7" s="17" t="n">
        <x:f>H7-F7</x:f>
        <x:v>19500</x:v>
      </x:c>
      <x:c r="H7" s="17" t="n">
        <x:f>'示範薪資計算'!F22</x:f>
        <x:v>19500</x:v>
      </x:c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" t="str">
        <x:v>E03</x:v>
      </x:c>
      <x:c r="B8" s="1" t="str">
        <x:v>示範員工C</x:v>
      </x:c>
      <x:c r="C8" s="1" t="str">
        <x:v>類型1</x:v>
      </x:c>
      <x:c r="D8" s="23" t="n">
        <x:f>ROUND(SUMIFS('每日工時'!$E$6:$E$86,'每日工時'!$A$6:$A$86,A8)/60,1)</x:f>
        <x:v>120</x:v>
      </x:c>
      <x:c r="E8" s="14" t="n">
        <x:f>SUMIFS('每日工時'!$K$6:$K$86,'每日工時'!$A$6:$A$86,A8)</x:f>
        <x:v>30</x:v>
      </x:c>
      <x:c r="F8" s="14" t="n">
        <x:f>'示範薪資計算'!F30</x:f>
        <x:v>1000</x:v>
      </x:c>
      <x:c r="G8" s="14" t="n">
        <x:f>H8-F8</x:f>
        <x:v>24800</x:v>
      </x:c>
      <x:c r="H8" s="14" t="n">
        <x:f>'示範薪資計算'!F31</x:f>
        <x:v>25800</x:v>
      </x:c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5" t="str">
        <x:v>E04</x:v>
      </x:c>
      <x:c r="B9" s="15" t="str">
        <x:v>示範員工D</x:v>
      </x:c>
      <x:c r="C9" s="15" t="str">
        <x:v>類型2</x:v>
      </x:c>
      <x:c r="D9" s="24" t="n">
        <x:f>ROUND(SUMIFS('每日工時'!$E$6:$E$86,'每日工時'!$A$6:$A$86,A9)/60,1)</x:f>
        <x:v>100</x:v>
      </x:c>
      <x:c r="E9" s="17" t="n">
        <x:f>SUMIFS('每日工時'!$K$6:$K$86,'每日工時'!$A$6:$A$86,A9)</x:f>
        <x:v>0</x:v>
      </x:c>
      <x:c r="F9" s="17" t="n">
        <x:f>'示範薪資計算'!F39</x:f>
        <x:v>1000</x:v>
      </x:c>
      <x:c r="G9" s="17" t="n">
        <x:f>H9-F9</x:f>
        <x:v>21200</x:v>
      </x:c>
      <x:c r="H9" s="17" t="n">
        <x:f>'示範薪資計算'!F40</x:f>
        <x:v>22200</x:v>
      </x:c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A10" s="1" t="str">
        <x:v>E05</x:v>
      </x:c>
      <x:c r="B10" s="1" t="str">
        <x:v>示範員工E</x:v>
      </x:c>
      <x:c r="C10" s="1" t="str">
        <x:v>類型2</x:v>
      </x:c>
      <x:c r="D10" s="23" t="n">
        <x:f>ROUND(SUMIFS('每日工時'!$E$6:$E$86,'每日工時'!$A$6:$A$86,A10)/60,1)</x:f>
        <x:v>102</x:v>
      </x:c>
      <x:c r="E10" s="14" t="n">
        <x:f>SUMIFS('每日工時'!$K$6:$K$86,'每日工時'!$A$6:$A$86,A10)</x:f>
        <x:v>0</x:v>
      </x:c>
      <x:c r="F10" s="14" t="n">
        <x:f>'示範薪資計算'!F48</x:f>
        <x:v>1000</x:v>
      </x:c>
      <x:c r="G10" s="14" t="n">
        <x:f>H10-F10</x:f>
        <x:v>21750</x:v>
      </x:c>
      <x:c r="H10" s="14" t="n">
        <x:f>'示範薪資計算'!F49</x:f>
        <x:v>22750</x:v>
      </x:c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19" t="str">
        <x:v>合計</x:v>
      </x:c>
      <x:c r="B11" s="19"/>
      <x:c r="C11" s="19"/>
      <x:c r="D11" s="25" t="n">
        <x:f>SUM(D6:D10)</x:f>
        <x:v>517</x:v>
      </x:c>
      <x:c r="E11" s="20" t="n">
        <x:f>SUM(E6:E10)</x:f>
        <x:v>45</x:v>
      </x:c>
      <x:c r="F11" s="20" t="n">
        <x:f>SUM(F6:F10)</x:f>
        <x:v>4000</x:v>
      </x:c>
      <x:c r="G11" s="20" t="n">
        <x:f>SUM(G6:G10)</x:f>
        <x:v>107800</x:v>
      </x:c>
      <x:c r="H11" s="20" t="n">
        <x:f>SUM(H6:H10)</x:f>
        <x:v>111800</x:v>
      </x:c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25" hidden="0" customWidth="1"/>
    <x:col min="4" max="4" width="17" hidden="0" customWidth="1"/>
    <x:col min="5" max="5" width="14" hidden="0" customWidth="1"/>
    <x:col min="6" max="6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6" customHeight="1">
      <x:c r="A2" s="2" t="str">
        <x:v>示範薪資計算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分項金額四捨五入至元後相加；規則可在「示範規則」查看。</x:v>
      </x:c>
      <x:c r="B3" s="3"/>
      <x:c r="C3" s="3"/>
      <x:c r="D3" s="3"/>
      <x:c r="E3" s="3"/>
      <x:c r="F3" s="3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4" customHeight="1">
      <x:c r="A5" s="7" t="str">
        <x:v>員工代碼</x:v>
      </x:c>
      <x:c r="B5" s="7" t="str">
        <x:v>顯示名稱</x:v>
      </x:c>
      <x:c r="C5" s="7" t="str">
        <x:v>項目</x:v>
      </x:c>
      <x:c r="D5" s="7" t="str">
        <x:v>分鐘</x:v>
      </x:c>
      <x:c r="E5" s="7" t="str">
        <x:v>倍率</x:v>
      </x:c>
      <x:c r="F5" s="7" t="str">
        <x:v>示範金額（元）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" t="str">
        <x:v>E01</x:v>
      </x:c>
      <x:c r="B6" s="1" t="str">
        <x:v>示範員工A</x:v>
      </x:c>
      <x:c r="C6" s="1" t="str">
        <x:v>一般服務</x:v>
      </x:c>
      <x:c r="D6" s="14" t="n">
        <x:f>SUMIFS('每日工時'!$F$6:$F$86,'每日工時'!$A$6:$A$86,A6)</x:f>
        <x:v>5700</x:v>
      </x:c>
      <x:c r="E6" s="21" t="n">
        <x:f>'示範規則'!$B$6</x:f>
        <x:v>1</x:v>
      </x:c>
      <x:c r="F6" s="14" t="n">
        <x:f>ROUND(D6/60*'示範規則'!$B$3*E6,0)</x:f>
        <x:v>19000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A7" s="1" t="str">
        <x:v>E01</x:v>
      </x:c>
      <x:c r="B7" s="1" t="str">
        <x:v>示範員工A</x:v>
      </x:c>
      <x:c r="C7" s="1" t="str">
        <x:v>平日延長前2小時</x:v>
      </x:c>
      <x:c r="D7" s="14" t="n">
        <x:f>SUMIFS('每日工時'!$G$6:$G$86,'每日工時'!$A$6:$A$86,A7)</x:f>
        <x:v>0</x:v>
      </x:c>
      <x:c r="E7" s="21" t="n">
        <x:f>'示範規則'!$B$7</x:f>
        <x:v>1.25</x:v>
      </x:c>
      <x:c r="F7" s="14" t="n">
        <x:f>ROUND(D7/60*'示範規則'!$B$3*E7,0)</x:f>
        <x:v>0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" t="str">
        <x:v>E01</x:v>
      </x:c>
      <x:c r="B8" s="1" t="str">
        <x:v>示範員工A</x:v>
      </x:c>
      <x:c r="C8" s="1" t="str">
        <x:v>平日延長後2小時</x:v>
      </x:c>
      <x:c r="D8" s="14" t="n">
        <x:f>SUMIFS('每日工時'!$H$6:$H$86,'每日工時'!$A$6:$A$86,A8)</x:f>
        <x:v>0</x:v>
      </x:c>
      <x:c r="E8" s="21" t="n">
        <x:f>'示範規則'!$B$8</x:f>
        <x:v>1.5</x:v>
      </x:c>
      <x:c r="F8" s="14" t="n">
        <x:f>ROUND(D8/60*'示範規則'!$B$3*E8,0)</x:f>
        <x:v>0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" t="str">
        <x:v>E01</x:v>
      </x:c>
      <x:c r="B9" s="1" t="str">
        <x:v>示範員工A</x:v>
      </x:c>
      <x:c r="C9" s="1" t="str">
        <x:v>休息日服務</x:v>
      </x:c>
      <x:c r="D9" s="14" t="n">
        <x:f>SUMIFS('每日工時'!$I$6:$I$86,'每日工時'!$A$6:$A$86,A9)</x:f>
        <x:v>0</x:v>
      </x:c>
      <x:c r="E9" s="21" t="n">
        <x:f>'示範規則'!$B$9</x:f>
        <x:v>1.25</x:v>
      </x:c>
      <x:c r="F9" s="14" t="n">
        <x:f>ROUND(D9/60*'示範規則'!$B$3*E9,0)</x:f>
        <x:v>0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A10" s="1" t="str">
        <x:v>E01</x:v>
      </x:c>
      <x:c r="B10" s="1" t="str">
        <x:v>示範員工A</x:v>
      </x:c>
      <x:c r="C10" s="1" t="str">
        <x:v>示範假日服務</x:v>
      </x:c>
      <x:c r="D10" s="14" t="n">
        <x:f>SUMIFS('每日工時'!$J$6:$J$86,'每日工時'!$A$6:$A$86,A10)</x:f>
        <x:v>300</x:v>
      </x:c>
      <x:c r="E10" s="21" t="n">
        <x:f>'示範規則'!$B$10</x:f>
        <x:v>1.5</x:v>
      </x:c>
      <x:c r="F10" s="14" t="n">
        <x:f>ROUND(D10/60*'示範規則'!$B$3*E10,0)</x:f>
        <x:v>1500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1" t="str">
        <x:v>E01</x:v>
      </x:c>
      <x:c r="B11" s="1" t="str">
        <x:v>示範員工A</x:v>
      </x:c>
      <x:c r="C11" s="1" t="str">
        <x:v>轉場</x:v>
      </x:c>
      <x:c r="D11" s="14" t="n">
        <x:f>SUMIFS('每日工時'!$K$6:$K$86,'每日工時'!$A$6:$A$86,A11)</x:f>
        <x:v>15</x:v>
      </x:c>
      <x:c r="E11" s="21" t="n">
        <x:f>'示範規則'!$B$11</x:f>
        <x:v>1</x:v>
      </x:c>
      <x:c r="F11" s="14" t="n">
        <x:f>ROUND(D11/60*'示範規則'!$B$3*E11,0)</x:f>
        <x:v>50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 t="str">
        <x:v>E01</x:v>
      </x:c>
      <x:c r="B12" s="1" t="str">
        <x:v>示範員工A</x:v>
      </x:c>
      <x:c r="C12" s="1" t="str">
        <x:v>示範獎金</x:v>
      </x:c>
      <x:c r="D12" s="14" t="n">
        <x:f>SUMIFS('每日工時'!$E$6:$E$86,'每日工時'!$A$6:$A$86,A12)</x:f>
        <x:v>6000</x:v>
      </x:c>
      <x:c r="E12" s="21"/>
      <x:c r="F12" s="14" t="n">
        <x:f>IF(D12&gt;='示範規則'!$B$13*60,'示範規則'!$B$14,0)</x:f>
        <x:v>1000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9" t="str">
        <x:v>E01</x:v>
      </x:c>
      <x:c r="B13" s="19" t="str">
        <x:v>示範員工A</x:v>
      </x:c>
      <x:c r="C13" s="19" t="str">
        <x:v>示範應發合計</x:v>
      </x:c>
      <x:c r="D13" s="20"/>
      <x:c r="E13" s="22"/>
      <x:c r="F13" s="20" t="n">
        <x:f>SUM(F6:F12)</x:f>
        <x:v>21550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/>
      <x:c r="B14" s="1"/>
      <x:c r="C14" s="1"/>
      <x:c r="D14" s="14"/>
      <x:c r="E14" s="21"/>
      <x:c r="F14" s="14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 t="str">
        <x:v>E02</x:v>
      </x:c>
      <x:c r="B15" s="1" t="str">
        <x:v>示範員工B</x:v>
      </x:c>
      <x:c r="C15" s="1" t="str">
        <x:v>一般服務</x:v>
      </x:c>
      <x:c r="D15" s="14" t="n">
        <x:f>SUMIFS('每日工時'!$F$6:$F$86,'每日工時'!$A$6:$A$86,A15)</x:f>
        <x:v>5400</x:v>
      </x:c>
      <x:c r="E15" s="21" t="n">
        <x:f>'示範規則'!$B$6</x:f>
        <x:v>1</x:v>
      </x:c>
      <x:c r="F15" s="14" t="n">
        <x:f>ROUND(D15/60*'示範規則'!$B$3*E15,0)</x:f>
        <x:v>18000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 t="str">
        <x:v>E02</x:v>
      </x:c>
      <x:c r="B16" s="1" t="str">
        <x:v>示範員工B</x:v>
      </x:c>
      <x:c r="C16" s="1" t="str">
        <x:v>平日延長前2小時</x:v>
      </x:c>
      <x:c r="D16" s="14" t="n">
        <x:f>SUMIFS('每日工時'!$G$6:$G$86,'每日工時'!$A$6:$A$86,A16)</x:f>
        <x:v>0</x:v>
      </x:c>
      <x:c r="E16" s="21" t="n">
        <x:f>'示範規則'!$B$7</x:f>
        <x:v>1.25</x:v>
      </x:c>
      <x:c r="F16" s="14" t="n">
        <x:f>ROUND(D16/60*'示範規則'!$B$3*E16,0)</x:f>
        <x:v>0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 t="str">
        <x:v>E02</x:v>
      </x:c>
      <x:c r="B17" s="1" t="str">
        <x:v>示範員工B</x:v>
      </x:c>
      <x:c r="C17" s="1" t="str">
        <x:v>平日延長後2小時</x:v>
      </x:c>
      <x:c r="D17" s="14" t="n">
        <x:f>SUMIFS('每日工時'!$H$6:$H$86,'每日工時'!$A$6:$A$86,A17)</x:f>
        <x:v>0</x:v>
      </x:c>
      <x:c r="E17" s="21" t="n">
        <x:f>'示範規則'!$B$8</x:f>
        <x:v>1.5</x:v>
      </x:c>
      <x:c r="F17" s="14" t="n">
        <x:f>ROUND(D17/60*'示範規則'!$B$3*E17,0)</x:f>
        <x:v>0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 t="str">
        <x:v>E02</x:v>
      </x:c>
      <x:c r="B18" s="1" t="str">
        <x:v>示範員工B</x:v>
      </x:c>
      <x:c r="C18" s="1" t="str">
        <x:v>休息日服務</x:v>
      </x:c>
      <x:c r="D18" s="14" t="n">
        <x:f>SUMIFS('每日工時'!$I$6:$I$86,'每日工時'!$A$6:$A$86,A18)</x:f>
        <x:v>0</x:v>
      </x:c>
      <x:c r="E18" s="21" t="n">
        <x:f>'示範規則'!$B$9</x:f>
        <x:v>1.25</x:v>
      </x:c>
      <x:c r="F18" s="14" t="n">
        <x:f>ROUND(D18/60*'示範規則'!$B$3*E18,0)</x:f>
        <x:v>0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 t="str">
        <x:v>E02</x:v>
      </x:c>
      <x:c r="B19" s="1" t="str">
        <x:v>示範員工B</x:v>
      </x:c>
      <x:c r="C19" s="1" t="str">
        <x:v>示範假日服務</x:v>
      </x:c>
      <x:c r="D19" s="14" t="n">
        <x:f>SUMIFS('每日工時'!$J$6:$J$86,'每日工時'!$A$6:$A$86,A19)</x:f>
        <x:v>300</x:v>
      </x:c>
      <x:c r="E19" s="21" t="n">
        <x:f>'示範規則'!$B$10</x:f>
        <x:v>1.5</x:v>
      </x:c>
      <x:c r="F19" s="14" t="n">
        <x:f>ROUND(D19/60*'示範規則'!$B$3*E19,0)</x:f>
        <x:v>1500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 t="str">
        <x:v>E02</x:v>
      </x:c>
      <x:c r="B20" s="1" t="str">
        <x:v>示範員工B</x:v>
      </x:c>
      <x:c r="C20" s="1" t="str">
        <x:v>轉場</x:v>
      </x:c>
      <x:c r="D20" s="14" t="n">
        <x:f>SUMIFS('每日工時'!$K$6:$K$86,'每日工時'!$A$6:$A$86,A20)</x:f>
        <x:v>0</x:v>
      </x:c>
      <x:c r="E20" s="21" t="n">
        <x:f>'示範規則'!$B$11</x:f>
        <x:v>1</x:v>
      </x:c>
      <x:c r="F20" s="14" t="n">
        <x:f>ROUND(D20/60*'示範規則'!$B$3*E20,0)</x:f>
        <x:v>0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 t="str">
        <x:v>E02</x:v>
      </x:c>
      <x:c r="B21" s="1" t="str">
        <x:v>示範員工B</x:v>
      </x:c>
      <x:c r="C21" s="1" t="str">
        <x:v>示範獎金</x:v>
      </x:c>
      <x:c r="D21" s="14" t="n">
        <x:f>SUMIFS('每日工時'!$E$6:$E$86,'每日工時'!$A$6:$A$86,A21)</x:f>
        <x:v>5700</x:v>
      </x:c>
      <x:c r="E21" s="21"/>
      <x:c r="F21" s="14" t="n">
        <x:f>IF(D21&gt;='示範規則'!$B$13*60,'示範規則'!$B$14,0)</x:f>
        <x:v>0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9" t="str">
        <x:v>E02</x:v>
      </x:c>
      <x:c r="B22" s="19" t="str">
        <x:v>示範員工B</x:v>
      </x:c>
      <x:c r="C22" s="19" t="str">
        <x:v>示範應發合計</x:v>
      </x:c>
      <x:c r="D22" s="20"/>
      <x:c r="E22" s="22"/>
      <x:c r="F22" s="20" t="n">
        <x:f>SUM(F15:F21)</x:f>
        <x:v>19500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/>
      <x:c r="B23" s="1"/>
      <x:c r="C23" s="1"/>
      <x:c r="D23" s="14"/>
      <x:c r="E23" s="21"/>
      <x:c r="F23" s="14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 t="str">
        <x:v>E03</x:v>
      </x:c>
      <x:c r="B24" s="1" t="str">
        <x:v>示範員工C</x:v>
      </x:c>
      <x:c r="C24" s="1" t="str">
        <x:v>一般服務</x:v>
      </x:c>
      <x:c r="D24" s="14" t="n">
        <x:f>SUMIFS('每日工時'!$F$6:$F$86,'每日工時'!$A$6:$A$86,A24)</x:f>
        <x:v>6780</x:v>
      </x:c>
      <x:c r="E24" s="21" t="n">
        <x:f>'示範規則'!$B$6</x:f>
        <x:v>1</x:v>
      </x:c>
      <x:c r="F24" s="14" t="n">
        <x:f>ROUND(D24/60*'示範規則'!$B$3*E24,0)</x:f>
        <x:v>22600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 t="str">
        <x:v>E03</x:v>
      </x:c>
      <x:c r="B25" s="1" t="str">
        <x:v>示範員工C</x:v>
      </x:c>
      <x:c r="C25" s="1" t="str">
        <x:v>平日延長前2小時</x:v>
      </x:c>
      <x:c r="D25" s="14" t="n">
        <x:f>SUMIFS('每日工時'!$G$6:$G$86,'每日工時'!$A$6:$A$86,A25)</x:f>
        <x:v>0</x:v>
      </x:c>
      <x:c r="E25" s="21" t="n">
        <x:f>'示範規則'!$B$7</x:f>
        <x:v>1.25</x:v>
      </x:c>
      <x:c r="F25" s="14" t="n">
        <x:f>ROUND(D25/60*'示範規則'!$B$3*E25,0)</x:f>
        <x:v>0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 t="str">
        <x:v>E03</x:v>
      </x:c>
      <x:c r="B26" s="1" t="str">
        <x:v>示範員工C</x:v>
      </x:c>
      <x:c r="C26" s="1" t="str">
        <x:v>平日延長後2小時</x:v>
      </x:c>
      <x:c r="D26" s="14" t="n">
        <x:f>SUMIFS('每日工時'!$H$6:$H$86,'每日工時'!$A$6:$A$86,A26)</x:f>
        <x:v>0</x:v>
      </x:c>
      <x:c r="E26" s="21" t="n">
        <x:f>'示範規則'!$B$8</x:f>
        <x:v>1.5</x:v>
      </x:c>
      <x:c r="F26" s="14" t="n">
        <x:f>ROUND(D26/60*'示範規則'!$B$3*E26,0)</x:f>
        <x:v>0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 t="str">
        <x:v>E03</x:v>
      </x:c>
      <x:c r="B27" s="1" t="str">
        <x:v>示範員工C</x:v>
      </x:c>
      <x:c r="C27" s="1" t="str">
        <x:v>休息日服務</x:v>
      </x:c>
      <x:c r="D27" s="14" t="n">
        <x:f>SUMIFS('每日工時'!$I$6:$I$86,'每日工時'!$A$6:$A$86,A27)</x:f>
        <x:v>0</x:v>
      </x:c>
      <x:c r="E27" s="21" t="n">
        <x:f>'示範規則'!$B$9</x:f>
        <x:v>1.25</x:v>
      </x:c>
      <x:c r="F27" s="14" t="n">
        <x:f>ROUND(D27/60*'示範規則'!$B$3*E27,0)</x:f>
        <x:v>0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 t="str">
        <x:v>E03</x:v>
      </x:c>
      <x:c r="B28" s="1" t="str">
        <x:v>示範員工C</x:v>
      </x:c>
      <x:c r="C28" s="1" t="str">
        <x:v>示範假日服務</x:v>
      </x:c>
      <x:c r="D28" s="14" t="n">
        <x:f>SUMIFS('每日工時'!$J$6:$J$86,'每日工時'!$A$6:$A$86,A28)</x:f>
        <x:v>420</x:v>
      </x:c>
      <x:c r="E28" s="21" t="n">
        <x:f>'示範規則'!$B$10</x:f>
        <x:v>1.5</x:v>
      </x:c>
      <x:c r="F28" s="14" t="n">
        <x:f>ROUND(D28/60*'示範規則'!$B$3*E28,0)</x:f>
        <x:v>2100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 t="str">
        <x:v>E03</x:v>
      </x:c>
      <x:c r="B29" s="1" t="str">
        <x:v>示範員工C</x:v>
      </x:c>
      <x:c r="C29" s="1" t="str">
        <x:v>轉場</x:v>
      </x:c>
      <x:c r="D29" s="14" t="n">
        <x:f>SUMIFS('每日工時'!$K$6:$K$86,'每日工時'!$A$6:$A$86,A29)</x:f>
        <x:v>30</x:v>
      </x:c>
      <x:c r="E29" s="21" t="n">
        <x:f>'示範規則'!$B$11</x:f>
        <x:v>1</x:v>
      </x:c>
      <x:c r="F29" s="14" t="n">
        <x:f>ROUND(D29/60*'示範規則'!$B$3*E29,0)</x:f>
        <x:v>100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 t="str">
        <x:v>E03</x:v>
      </x:c>
      <x:c r="B30" s="1" t="str">
        <x:v>示範員工C</x:v>
      </x:c>
      <x:c r="C30" s="1" t="str">
        <x:v>示範獎金</x:v>
      </x:c>
      <x:c r="D30" s="14" t="n">
        <x:f>SUMIFS('每日工時'!$E$6:$E$86,'每日工時'!$A$6:$A$86,A30)</x:f>
        <x:v>7200</x:v>
      </x:c>
      <x:c r="E30" s="21"/>
      <x:c r="F30" s="14" t="n">
        <x:f>IF(D30&gt;='示範規則'!$B$13*60,'示範規則'!$B$14,0)</x:f>
        <x:v>1000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9" t="str">
        <x:v>E03</x:v>
      </x:c>
      <x:c r="B31" s="19" t="str">
        <x:v>示範員工C</x:v>
      </x:c>
      <x:c r="C31" s="19" t="str">
        <x:v>示範應發合計</x:v>
      </x:c>
      <x:c r="D31" s="20"/>
      <x:c r="E31" s="22"/>
      <x:c r="F31" s="20" t="n">
        <x:f>SUM(F24:F30)</x:f>
        <x:v>25800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4"/>
      <x:c r="E32" s="21"/>
      <x:c r="F32" s="14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 t="str">
        <x:v>E04</x:v>
      </x:c>
      <x:c r="B33" s="1" t="str">
        <x:v>示範員工D</x:v>
      </x:c>
      <x:c r="C33" s="1" t="str">
        <x:v>一般服務</x:v>
      </x:c>
      <x:c r="D33" s="14" t="n">
        <x:f>SUMIFS('每日工時'!$F$6:$F$86,'每日工時'!$A$6:$A$86,A33)</x:f>
        <x:v>4800</x:v>
      </x:c>
      <x:c r="E33" s="21" t="n">
        <x:f>'示範規則'!$B$6</x:f>
        <x:v>1</x:v>
      </x:c>
      <x:c r="F33" s="14" t="n">
        <x:f>ROUND(D33/60*'示範規則'!$B$3*E33,0)</x:f>
        <x:v>16000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 t="str">
        <x:v>E04</x:v>
      </x:c>
      <x:c r="B34" s="1" t="str">
        <x:v>示範員工D</x:v>
      </x:c>
      <x:c r="C34" s="1" t="str">
        <x:v>平日延長前2小時</x:v>
      </x:c>
      <x:c r="D34" s="14" t="n">
        <x:f>SUMIFS('每日工時'!$G$6:$G$86,'每日工時'!$A$6:$A$86,A34)</x:f>
        <x:v>0</x:v>
      </x:c>
      <x:c r="E34" s="21" t="n">
        <x:f>'示範規則'!$B$7</x:f>
        <x:v>1.25</x:v>
      </x:c>
      <x:c r="F34" s="14" t="n">
        <x:f>ROUND(D34/60*'示範規則'!$B$3*E34,0)</x:f>
        <x:v>0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 t="str">
        <x:v>E04</x:v>
      </x:c>
      <x:c r="B35" s="1" t="str">
        <x:v>示範員工D</x:v>
      </x:c>
      <x:c r="C35" s="1" t="str">
        <x:v>平日延長後2小時</x:v>
      </x:c>
      <x:c r="D35" s="14" t="n">
        <x:f>SUMIFS('每日工時'!$H$6:$H$86,'每日工時'!$A$6:$A$86,A35)</x:f>
        <x:v>0</x:v>
      </x:c>
      <x:c r="E35" s="21" t="n">
        <x:f>'示範規則'!$B$8</x:f>
        <x:v>1.5</x:v>
      </x:c>
      <x:c r="F35" s="14" t="n">
        <x:f>ROUND(D35/60*'示範規則'!$B$3*E35,0)</x:f>
        <x:v>0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>
      <x:c r="A36" s="1" t="str">
        <x:v>E04</x:v>
      </x:c>
      <x:c r="B36" s="1" t="str">
        <x:v>示範員工D</x:v>
      </x:c>
      <x:c r="C36" s="1" t="str">
        <x:v>休息日服務</x:v>
      </x:c>
      <x:c r="D36" s="14" t="n">
        <x:f>SUMIFS('每日工時'!$I$6:$I$86,'每日工時'!$A$6:$A$86,A36)</x:f>
        <x:v>960</x:v>
      </x:c>
      <x:c r="E36" s="21" t="n">
        <x:f>'示範規則'!$B$9</x:f>
        <x:v>1.25</x:v>
      </x:c>
      <x:c r="F36" s="14" t="n">
        <x:f>ROUND(D36/60*'示範規則'!$B$3*E36,0)</x:f>
        <x:v>4000</x:v>
      </x:c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>
      <x:c r="A37" s="1" t="str">
        <x:v>E04</x:v>
      </x:c>
      <x:c r="B37" s="1" t="str">
        <x:v>示範員工D</x:v>
      </x:c>
      <x:c r="C37" s="1" t="str">
        <x:v>示範假日服務</x:v>
      </x:c>
      <x:c r="D37" s="14" t="n">
        <x:f>SUMIFS('每日工時'!$J$6:$J$86,'每日工時'!$A$6:$A$86,A37)</x:f>
        <x:v>240</x:v>
      </x:c>
      <x:c r="E37" s="21" t="n">
        <x:f>'示範規則'!$B$10</x:f>
        <x:v>1.5</x:v>
      </x:c>
      <x:c r="F37" s="14" t="n">
        <x:f>ROUND(D37/60*'示範規則'!$B$3*E37,0)</x:f>
        <x:v>1200</x:v>
      </x:c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 t="str">
        <x:v>E04</x:v>
      </x:c>
      <x:c r="B38" s="1" t="str">
        <x:v>示範員工D</x:v>
      </x:c>
      <x:c r="C38" s="1" t="str">
        <x:v>轉場</x:v>
      </x:c>
      <x:c r="D38" s="14" t="n">
        <x:f>SUMIFS('每日工時'!$K$6:$K$86,'每日工時'!$A$6:$A$86,A38)</x:f>
        <x:v>0</x:v>
      </x:c>
      <x:c r="E38" s="21" t="n">
        <x:f>'示範規則'!$B$11</x:f>
        <x:v>1</x:v>
      </x:c>
      <x:c r="F38" s="14" t="n">
        <x:f>ROUND(D38/60*'示範規則'!$B$3*E38,0)</x:f>
        <x:v>0</x:v>
      </x:c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A39" s="1" t="str">
        <x:v>E04</x:v>
      </x:c>
      <x:c r="B39" s="1" t="str">
        <x:v>示範員工D</x:v>
      </x:c>
      <x:c r="C39" s="1" t="str">
        <x:v>示範獎金</x:v>
      </x:c>
      <x:c r="D39" s="14" t="n">
        <x:f>SUMIFS('每日工時'!$E$6:$E$86,'每日工時'!$A$6:$A$86,A39)</x:f>
        <x:v>6000</x:v>
      </x:c>
      <x:c r="E39" s="21"/>
      <x:c r="F39" s="14" t="n">
        <x:f>IF(D39&gt;='示範規則'!$B$13*60,'示範規則'!$B$14,0)</x:f>
        <x:v>1000</x:v>
      </x:c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9" t="str">
        <x:v>E04</x:v>
      </x:c>
      <x:c r="B40" s="19" t="str">
        <x:v>示範員工D</x:v>
      </x:c>
      <x:c r="C40" s="19" t="str">
        <x:v>示範應發合計</x:v>
      </x:c>
      <x:c r="D40" s="20"/>
      <x:c r="E40" s="22"/>
      <x:c r="F40" s="20" t="n">
        <x:f>SUM(F33:F39)</x:f>
        <x:v>22200</x:v>
      </x:c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"/>
      <x:c r="B41" s="1"/>
      <x:c r="C41" s="1"/>
      <x:c r="D41" s="14"/>
      <x:c r="E41" s="21"/>
      <x:c r="F41" s="14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>
      <x:c r="A42" s="1" t="str">
        <x:v>E05</x:v>
      </x:c>
      <x:c r="B42" s="1" t="str">
        <x:v>示範員工E</x:v>
      </x:c>
      <x:c r="C42" s="1" t="str">
        <x:v>一般服務</x:v>
      </x:c>
      <x:c r="D42" s="14" t="n">
        <x:f>SUMIFS('每日工時'!$F$6:$F$86,'每日工時'!$A$6:$A$86,A42)</x:f>
        <x:v>5040</x:v>
      </x:c>
      <x:c r="E42" s="21" t="n">
        <x:f>'示範規則'!$B$6</x:f>
        <x:v>1</x:v>
      </x:c>
      <x:c r="F42" s="14" t="n">
        <x:f>ROUND(D42/60*'示範規則'!$B$3*E42,0)</x:f>
        <x:v>16800</x:v>
      </x:c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>
      <x:c r="A43" s="1" t="str">
        <x:v>E05</x:v>
      </x:c>
      <x:c r="B43" s="1" t="str">
        <x:v>示範員工E</x:v>
      </x:c>
      <x:c r="C43" s="1" t="str">
        <x:v>平日延長前2小時</x:v>
      </x:c>
      <x:c r="D43" s="14" t="n">
        <x:f>SUMIFS('每日工時'!$G$6:$G$86,'每日工時'!$A$6:$A$86,A43)</x:f>
        <x:v>540</x:v>
      </x:c>
      <x:c r="E43" s="21" t="n">
        <x:f>'示範規則'!$B$7</x:f>
        <x:v>1.25</x:v>
      </x:c>
      <x:c r="F43" s="14" t="n">
        <x:f>ROUND(D43/60*'示範規則'!$B$3*E43,0)</x:f>
        <x:v>2250</x:v>
      </x:c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>
      <x:c r="A44" s="1" t="str">
        <x:v>E05</x:v>
      </x:c>
      <x:c r="B44" s="1" t="str">
        <x:v>示範員工E</x:v>
      </x:c>
      <x:c r="C44" s="1" t="str">
        <x:v>平日延長後2小時</x:v>
      </x:c>
      <x:c r="D44" s="14" t="n">
        <x:f>SUMIFS('每日工時'!$H$6:$H$86,'每日工時'!$A$6:$A$86,A44)</x:f>
        <x:v>0</x:v>
      </x:c>
      <x:c r="E44" s="21" t="n">
        <x:f>'示範規則'!$B$8</x:f>
        <x:v>1.5</x:v>
      </x:c>
      <x:c r="F44" s="14" t="n">
        <x:f>ROUND(D44/60*'示範規則'!$B$3*E44,0)</x:f>
        <x:v>0</x:v>
      </x:c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>
      <x:c r="A45" s="1" t="str">
        <x:v>E05</x:v>
      </x:c>
      <x:c r="B45" s="1" t="str">
        <x:v>示範員工E</x:v>
      </x:c>
      <x:c r="C45" s="1" t="str">
        <x:v>休息日服務</x:v>
      </x:c>
      <x:c r="D45" s="14" t="n">
        <x:f>SUMIFS('每日工時'!$I$6:$I$86,'每日工時'!$A$6:$A$86,A45)</x:f>
        <x:v>0</x:v>
      </x:c>
      <x:c r="E45" s="21" t="n">
        <x:f>'示範規則'!$B$9</x:f>
        <x:v>1.25</x:v>
      </x:c>
      <x:c r="F45" s="14" t="n">
        <x:f>ROUND(D45/60*'示範規則'!$B$3*E45,0)</x:f>
        <x:v>0</x:v>
      </x:c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>
      <x:c r="A46" s="1" t="str">
        <x:v>E05</x:v>
      </x:c>
      <x:c r="B46" s="1" t="str">
        <x:v>示範員工E</x:v>
      </x:c>
      <x:c r="C46" s="1" t="str">
        <x:v>示範假日服務</x:v>
      </x:c>
      <x:c r="D46" s="14" t="n">
        <x:f>SUMIFS('每日工時'!$J$6:$J$86,'每日工時'!$A$6:$A$86,A46)</x:f>
        <x:v>540</x:v>
      </x:c>
      <x:c r="E46" s="21" t="n">
        <x:f>'示範規則'!$B$10</x:f>
        <x:v>1.5</x:v>
      </x:c>
      <x:c r="F46" s="14" t="n">
        <x:f>ROUND(D46/60*'示範規則'!$B$3*E46,0)</x:f>
        <x:v>2700</x:v>
      </x:c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>
      <x:c r="A47" s="1" t="str">
        <x:v>E05</x:v>
      </x:c>
      <x:c r="B47" s="1" t="str">
        <x:v>示範員工E</x:v>
      </x:c>
      <x:c r="C47" s="1" t="str">
        <x:v>轉場</x:v>
      </x:c>
      <x:c r="D47" s="14" t="n">
        <x:f>SUMIFS('每日工時'!$K$6:$K$86,'每日工時'!$A$6:$A$86,A47)</x:f>
        <x:v>0</x:v>
      </x:c>
      <x:c r="E47" s="21" t="n">
        <x:f>'示範規則'!$B$11</x:f>
        <x:v>1</x:v>
      </x:c>
      <x:c r="F47" s="14" t="n">
        <x:f>ROUND(D47/60*'示範規則'!$B$3*E47,0)</x:f>
        <x:v>0</x:v>
      </x:c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>
      <x:c r="A48" s="1" t="str">
        <x:v>E05</x:v>
      </x:c>
      <x:c r="B48" s="1" t="str">
        <x:v>示範員工E</x:v>
      </x:c>
      <x:c r="C48" s="1" t="str">
        <x:v>示範獎金</x:v>
      </x:c>
      <x:c r="D48" s="14" t="n">
        <x:f>SUMIFS('每日工時'!$E$6:$E$86,'每日工時'!$A$6:$A$86,A48)</x:f>
        <x:v>6120</x:v>
      </x:c>
      <x:c r="E48" s="21"/>
      <x:c r="F48" s="14" t="n">
        <x:f>IF(D48&gt;='示範規則'!$B$13*60,'示範規則'!$B$14,0)</x:f>
        <x:v>1000</x:v>
      </x:c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>
      <x:c r="A49" s="19" t="str">
        <x:v>E05</x:v>
      </x:c>
      <x:c r="B49" s="19" t="str">
        <x:v>示範員工E</x:v>
      </x:c>
      <x:c r="C49" s="19" t="str">
        <x:v>示範應發合計</x:v>
      </x:c>
      <x:c r="D49" s="20"/>
      <x:c r="E49" s="22"/>
      <x:c r="F49" s="20" t="n">
        <x:f>SUM(F42:F48)</x:f>
        <x:v>22750</x:v>
      </x:c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85B87"/>
  </x:sheetPr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2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6" customHeight="1">
      <x:c r="A2" s="2" t="str">
        <x:v>示範薪資單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2025 年 5 月；以下金額沒有保險、稅或其他扣項，並非實際薪資單。</x:v>
      </x:c>
      <x:c r="B3" s="3"/>
      <x:c r="C3" s="3"/>
      <x:c r="D3" s="3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>
      <x:c r="A5" s="27" t="str">
        <x:v>員工 示範員工A（E01）</x:v>
      </x:c>
      <x:c r="B5" s="27"/>
      <x:c r="C5" s="27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 ht="24" customHeight="1">
      <x:c r="A6" s="7" t="str">
        <x:v>項目</x:v>
      </x:c>
      <x:c r="B6" s="7" t="str">
        <x:v>分鐘</x:v>
      </x:c>
      <x:c r="C6" s="7" t="str">
        <x:v>金額（元）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A7" s="1" t="str">
        <x:f>'示範薪資計算'!C6</x:f>
        <x:v>一般服務</x:v>
      </x:c>
      <x:c r="B7" s="14" t="n">
        <x:f>'示範薪資計算'!D6</x:f>
        <x:v>5700</x:v>
      </x:c>
      <x:c r="C7" s="14" t="n">
        <x:f>'示範薪資計算'!F6</x:f>
        <x:v>19000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" t="str">
        <x:f>'示範薪資計算'!C7</x:f>
        <x:v>平日延長前2小時</x:v>
      </x:c>
      <x:c r="B8" s="14" t="n">
        <x:f>'示範薪資計算'!D7</x:f>
        <x:v>0</x:v>
      </x:c>
      <x:c r="C8" s="14" t="n">
        <x:f>'示範薪資計算'!F7</x:f>
        <x:v>0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" t="str">
        <x:f>'示範薪資計算'!C8</x:f>
        <x:v>平日延長後2小時</x:v>
      </x:c>
      <x:c r="B9" s="14" t="n">
        <x:f>'示範薪資計算'!D8</x:f>
        <x:v>0</x:v>
      </x:c>
      <x:c r="C9" s="14" t="n">
        <x:f>'示範薪資計算'!F8</x:f>
        <x:v>0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A10" s="1" t="str">
        <x:f>'示範薪資計算'!C9</x:f>
        <x:v>休息日服務</x:v>
      </x:c>
      <x:c r="B10" s="14" t="n">
        <x:f>'示範薪資計算'!D9</x:f>
        <x:v>0</x:v>
      </x:c>
      <x:c r="C10" s="14" t="n">
        <x:f>'示範薪資計算'!F9</x:f>
        <x:v>0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1" t="str">
        <x:f>'示範薪資計算'!C10</x:f>
        <x:v>示範假日服務</x:v>
      </x:c>
      <x:c r="B11" s="14" t="n">
        <x:f>'示範薪資計算'!D10</x:f>
        <x:v>300</x:v>
      </x:c>
      <x:c r="C11" s="14" t="n">
        <x:f>'示範薪資計算'!F10</x:f>
        <x:v>1500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 t="str">
        <x:f>'示範薪資計算'!C11</x:f>
        <x:v>轉場</x:v>
      </x:c>
      <x:c r="B12" s="14" t="n">
        <x:f>'示範薪資計算'!D11</x:f>
        <x:v>15</x:v>
      </x:c>
      <x:c r="C12" s="14" t="n">
        <x:f>'示範薪資計算'!F11</x:f>
        <x:v>50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" t="str">
        <x:f>'示範薪資計算'!C12</x:f>
        <x:v>示範獎金</x:v>
      </x:c>
      <x:c r="B13" s="14"/>
      <x:c r="C13" s="14" t="n">
        <x:f>'示範薪資計算'!F12</x:f>
        <x:v>1000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9" t="str">
        <x:v>示範應發合計</x:v>
      </x:c>
      <x:c r="B14" s="20"/>
      <x:c r="C14" s="20" t="n">
        <x:f>'示範薪資計算'!F13</x:f>
        <x:v>21550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27" t="str">
        <x:v>員工 示範員工B（E02）</x:v>
      </x:c>
      <x:c r="B18" s="27"/>
      <x:c r="C18" s="27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 ht="24" customHeight="1">
      <x:c r="A19" s="7" t="str">
        <x:v>項目</x:v>
      </x:c>
      <x:c r="B19" s="7" t="str">
        <x:v>分鐘</x:v>
      </x:c>
      <x:c r="C19" s="7" t="str">
        <x:v>金額（元）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 t="str">
        <x:f>'示範薪資計算'!C15</x:f>
        <x:v>一般服務</x:v>
      </x:c>
      <x:c r="B20" s="14" t="n">
        <x:f>'示範薪資計算'!D15</x:f>
        <x:v>5400</x:v>
      </x:c>
      <x:c r="C20" s="14" t="n">
        <x:f>'示範薪資計算'!F15</x:f>
        <x:v>18000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 t="str">
        <x:f>'示範薪資計算'!C16</x:f>
        <x:v>平日延長前2小時</x:v>
      </x:c>
      <x:c r="B21" s="14" t="n">
        <x:f>'示範薪資計算'!D16</x:f>
        <x:v>0</x:v>
      </x:c>
      <x:c r="C21" s="14" t="n">
        <x:f>'示範薪資計算'!F16</x:f>
        <x:v>0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 t="str">
        <x:f>'示範薪資計算'!C17</x:f>
        <x:v>平日延長後2小時</x:v>
      </x:c>
      <x:c r="B22" s="14" t="n">
        <x:f>'示範薪資計算'!D17</x:f>
        <x:v>0</x:v>
      </x:c>
      <x:c r="C22" s="14" t="n">
        <x:f>'示範薪資計算'!F17</x:f>
        <x:v>0</x:v>
      </x:c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 t="str">
        <x:f>'示範薪資計算'!C18</x:f>
        <x:v>休息日服務</x:v>
      </x:c>
      <x:c r="B23" s="14" t="n">
        <x:f>'示範薪資計算'!D18</x:f>
        <x:v>0</x:v>
      </x:c>
      <x:c r="C23" s="14" t="n">
        <x:f>'示範薪資計算'!F18</x:f>
        <x:v>0</x:v>
      </x:c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 t="str">
        <x:f>'示範薪資計算'!C19</x:f>
        <x:v>示範假日服務</x:v>
      </x:c>
      <x:c r="B24" s="14" t="n">
        <x:f>'示範薪資計算'!D19</x:f>
        <x:v>300</x:v>
      </x:c>
      <x:c r="C24" s="14" t="n">
        <x:f>'示範薪資計算'!F19</x:f>
        <x:v>1500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 t="str">
        <x:f>'示範薪資計算'!C20</x:f>
        <x:v>轉場</x:v>
      </x:c>
      <x:c r="B25" s="14" t="n">
        <x:f>'示範薪資計算'!D20</x:f>
        <x:v>0</x:v>
      </x:c>
      <x:c r="C25" s="14" t="n">
        <x:f>'示範薪資計算'!F20</x:f>
        <x:v>0</x:v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 t="str">
        <x:f>'示範薪資計算'!C21</x:f>
        <x:v>示範獎金</x:v>
      </x:c>
      <x:c r="B26" s="14"/>
      <x:c r="C26" s="14" t="n">
        <x:f>'示範薪資計算'!F21</x:f>
        <x:v>0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9" t="str">
        <x:v>示範應發合計</x:v>
      </x:c>
      <x:c r="B27" s="20"/>
      <x:c r="C27" s="20" t="n">
        <x:f>'示範薪資計算'!F22</x:f>
        <x:v>19500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27" t="str">
        <x:v>員工 示範員工C（E03）</x:v>
      </x:c>
      <x:c r="B31" s="27"/>
      <x:c r="C31" s="27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 ht="24" customHeight="1">
      <x:c r="A32" s="7" t="str">
        <x:v>項目</x:v>
      </x:c>
      <x:c r="B32" s="7" t="str">
        <x:v>分鐘</x:v>
      </x:c>
      <x:c r="C32" s="7" t="str">
        <x:v>金額（元）</x:v>
      </x:c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 t="str">
        <x:f>'示範薪資計算'!C24</x:f>
        <x:v>一般服務</x:v>
      </x:c>
      <x:c r="B33" s="14" t="n">
        <x:f>'示範薪資計算'!D24</x:f>
        <x:v>6780</x:v>
      </x:c>
      <x:c r="C33" s="14" t="n">
        <x:f>'示範薪資計算'!F24</x:f>
        <x:v>22600</x:v>
      </x:c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 t="str">
        <x:f>'示範薪資計算'!C25</x:f>
        <x:v>平日延長前2小時</x:v>
      </x:c>
      <x:c r="B34" s="14" t="n">
        <x:f>'示範薪資計算'!D25</x:f>
        <x:v>0</x:v>
      </x:c>
      <x:c r="C34" s="14" t="n">
        <x:f>'示範薪資計算'!F25</x:f>
        <x:v>0</x:v>
      </x:c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 t="str">
        <x:f>'示範薪資計算'!C26</x:f>
        <x:v>平日延長後2小時</x:v>
      </x:c>
      <x:c r="B35" s="14" t="n">
        <x:f>'示範薪資計算'!D26</x:f>
        <x:v>0</x:v>
      </x:c>
      <x:c r="C35" s="14" t="n">
        <x:f>'示範薪資計算'!F26</x:f>
        <x:v>0</x:v>
      </x:c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>
      <x:c r="A36" s="1" t="str">
        <x:f>'示範薪資計算'!C27</x:f>
        <x:v>休息日服務</x:v>
      </x:c>
      <x:c r="B36" s="14" t="n">
        <x:f>'示範薪資計算'!D27</x:f>
        <x:v>0</x:v>
      </x:c>
      <x:c r="C36" s="14" t="n">
        <x:f>'示範薪資計算'!F27</x:f>
        <x:v>0</x:v>
      </x:c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>
      <x:c r="A37" s="1" t="str">
        <x:f>'示範薪資計算'!C28</x:f>
        <x:v>示範假日服務</x:v>
      </x:c>
      <x:c r="B37" s="14" t="n">
        <x:f>'示範薪資計算'!D28</x:f>
        <x:v>420</x:v>
      </x:c>
      <x:c r="C37" s="14" t="n">
        <x:f>'示範薪資計算'!F28</x:f>
        <x:v>2100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 t="str">
        <x:f>'示範薪資計算'!C29</x:f>
        <x:v>轉場</x:v>
      </x:c>
      <x:c r="B38" s="14" t="n">
        <x:f>'示範薪資計算'!D29</x:f>
        <x:v>30</x:v>
      </x:c>
      <x:c r="C38" s="14" t="n">
        <x:f>'示範薪資計算'!F29</x:f>
        <x:v>100</x:v>
      </x:c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A39" s="1" t="str">
        <x:f>'示範薪資計算'!C30</x:f>
        <x:v>示範獎金</x:v>
      </x:c>
      <x:c r="B39" s="14"/>
      <x:c r="C39" s="14" t="n">
        <x:f>'示範薪資計算'!F30</x:f>
        <x:v>1000</x:v>
      </x:c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9" t="str">
        <x:v>示範應發合計</x:v>
      </x:c>
      <x:c r="B40" s="20"/>
      <x:c r="C40" s="20" t="n">
        <x:f>'示範薪資計算'!F31</x:f>
        <x:v>25800</x:v>
      </x:c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>
      <x:c r="A44" s="27" t="str">
        <x:v>員工 示範員工D（E04）</x:v>
      </x:c>
      <x:c r="B44" s="27"/>
      <x:c r="C44" s="27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 ht="24" customHeight="1">
      <x:c r="A45" s="7" t="str">
        <x:v>項目</x:v>
      </x:c>
      <x:c r="B45" s="7" t="str">
        <x:v>分鐘</x:v>
      </x:c>
      <x:c r="C45" s="7" t="str">
        <x:v>金額（元）</x:v>
      </x:c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>
      <x:c r="A46" s="1" t="str">
        <x:f>'示範薪資計算'!C33</x:f>
        <x:v>一般服務</x:v>
      </x:c>
      <x:c r="B46" s="14" t="n">
        <x:f>'示範薪資計算'!D33</x:f>
        <x:v>4800</x:v>
      </x:c>
      <x:c r="C46" s="14" t="n">
        <x:f>'示範薪資計算'!F33</x:f>
        <x:v>16000</x:v>
      </x:c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>
      <x:c r="A47" s="1" t="str">
        <x:f>'示範薪資計算'!C34</x:f>
        <x:v>平日延長前2小時</x:v>
      </x:c>
      <x:c r="B47" s="14" t="n">
        <x:f>'示範薪資計算'!D34</x:f>
        <x:v>0</x:v>
      </x:c>
      <x:c r="C47" s="14" t="n">
        <x:f>'示範薪資計算'!F34</x:f>
        <x:v>0</x:v>
      </x:c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>
      <x:c r="A48" s="1" t="str">
        <x:f>'示範薪資計算'!C35</x:f>
        <x:v>平日延長後2小時</x:v>
      </x:c>
      <x:c r="B48" s="14" t="n">
        <x:f>'示範薪資計算'!D35</x:f>
        <x:v>0</x:v>
      </x:c>
      <x:c r="C48" s="14" t="n">
        <x:f>'示範薪資計算'!F35</x:f>
        <x:v>0</x:v>
      </x:c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>
      <x:c r="A49" s="1" t="str">
        <x:f>'示範薪資計算'!C36</x:f>
        <x:v>休息日服務</x:v>
      </x:c>
      <x:c r="B49" s="14" t="n">
        <x:f>'示範薪資計算'!D36</x:f>
        <x:v>960</x:v>
      </x:c>
      <x:c r="C49" s="14" t="n">
        <x:f>'示範薪資計算'!F36</x:f>
        <x:v>4000</x:v>
      </x:c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>
      <x:c r="A50" s="1" t="str">
        <x:f>'示範薪資計算'!C37</x:f>
        <x:v>示範假日服務</x:v>
      </x:c>
      <x:c r="B50" s="14" t="n">
        <x:f>'示範薪資計算'!D37</x:f>
        <x:v>240</x:v>
      </x:c>
      <x:c r="C50" s="14" t="n">
        <x:f>'示範薪資計算'!F37</x:f>
        <x:v>1200</x:v>
      </x:c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>
      <x:c r="A51" s="1" t="str">
        <x:f>'示範薪資計算'!C38</x:f>
        <x:v>轉場</x:v>
      </x:c>
      <x:c r="B51" s="14" t="n">
        <x:f>'示範薪資計算'!D38</x:f>
        <x:v>0</x:v>
      </x:c>
      <x:c r="C51" s="14" t="n">
        <x:f>'示範薪資計算'!F38</x:f>
        <x:v>0</x:v>
      </x:c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>
      <x:c r="A52" s="1" t="str">
        <x:f>'示範薪資計算'!C39</x:f>
        <x:v>示範獎金</x:v>
      </x:c>
      <x:c r="B52" s="14"/>
      <x:c r="C52" s="14" t="n">
        <x:f>'示範薪資計算'!F39</x:f>
        <x:v>1000</x:v>
      </x:c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>
      <x:c r="A53" s="19" t="str">
        <x:v>示範應發合計</x:v>
      </x:c>
      <x:c r="B53" s="20"/>
      <x:c r="C53" s="20" t="n">
        <x:f>'示範薪資計算'!F40</x:f>
        <x:v>22200</x:v>
      </x:c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>
      <x:c r="A57" s="27" t="str">
        <x:v>員工 示範員工E（E05）</x:v>
      </x:c>
      <x:c r="B57" s="27"/>
      <x:c r="C57" s="27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 ht="24" customHeight="1">
      <x:c r="A58" s="7" t="str">
        <x:v>項目</x:v>
      </x:c>
      <x:c r="B58" s="7" t="str">
        <x:v>分鐘</x:v>
      </x:c>
      <x:c r="C58" s="7" t="str">
        <x:v>金額（元）</x:v>
      </x:c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>
      <x:c r="A59" s="1" t="str">
        <x:f>'示範薪資計算'!C42</x:f>
        <x:v>一般服務</x:v>
      </x:c>
      <x:c r="B59" s="14" t="n">
        <x:f>'示範薪資計算'!D42</x:f>
        <x:v>5040</x:v>
      </x:c>
      <x:c r="C59" s="14" t="n">
        <x:f>'示範薪資計算'!F42</x:f>
        <x:v>16800</x:v>
      </x:c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>
      <x:c r="A60" s="1" t="str">
        <x:f>'示範薪資計算'!C43</x:f>
        <x:v>平日延長前2小時</x:v>
      </x:c>
      <x:c r="B60" s="14" t="n">
        <x:f>'示範薪資計算'!D43</x:f>
        <x:v>540</x:v>
      </x:c>
      <x:c r="C60" s="14" t="n">
        <x:f>'示範薪資計算'!F43</x:f>
        <x:v>2250</x:v>
      </x:c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>
      <x:c r="A61" s="1" t="str">
        <x:f>'示範薪資計算'!C44</x:f>
        <x:v>平日延長後2小時</x:v>
      </x:c>
      <x:c r="B61" s="14" t="n">
        <x:f>'示範薪資計算'!D44</x:f>
        <x:v>0</x:v>
      </x:c>
      <x:c r="C61" s="14" t="n">
        <x:f>'示範薪資計算'!F44</x:f>
        <x:v>0</x:v>
      </x:c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>
      <x:c r="A62" s="1" t="str">
        <x:f>'示範薪資計算'!C45</x:f>
        <x:v>休息日服務</x:v>
      </x:c>
      <x:c r="B62" s="14" t="n">
        <x:f>'示範薪資計算'!D45</x:f>
        <x:v>0</x:v>
      </x:c>
      <x:c r="C62" s="14" t="n">
        <x:f>'示範薪資計算'!F45</x:f>
        <x:v>0</x:v>
      </x:c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>
      <x:c r="A63" s="1" t="str">
        <x:f>'示範薪資計算'!C46</x:f>
        <x:v>示範假日服務</x:v>
      </x:c>
      <x:c r="B63" s="14" t="n">
        <x:f>'示範薪資計算'!D46</x:f>
        <x:v>540</x:v>
      </x:c>
      <x:c r="C63" s="14" t="n">
        <x:f>'示範薪資計算'!F46</x:f>
        <x:v>2700</x:v>
      </x:c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>
      <x:c r="A64" s="1" t="str">
        <x:f>'示範薪資計算'!C47</x:f>
        <x:v>轉場</x:v>
      </x:c>
      <x:c r="B64" s="14" t="n">
        <x:f>'示範薪資計算'!D47</x:f>
        <x:v>0</x:v>
      </x:c>
      <x:c r="C64" s="14" t="n">
        <x:f>'示範薪資計算'!F47</x:f>
        <x:v>0</x:v>
      </x:c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>
      <x:c r="A65" s="1" t="str">
        <x:f>'示範薪資計算'!C48</x:f>
        <x:v>示範獎金</x:v>
      </x:c>
      <x:c r="B65" s="14"/>
      <x:c r="C65" s="14" t="n">
        <x:f>'示範薪資計算'!F48</x:f>
        <x:v>1000</x:v>
      </x:c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>
      <x:c r="A66" s="19" t="str">
        <x:v>示範應發合計</x:v>
      </x:c>
      <x:c r="B66" s="20"/>
      <x:c r="C66" s="20" t="n">
        <x:f>'示範薪資計算'!F49</x:f>
        <x:v>22750</x:v>
      </x:c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7" hidden="0" customWidth="1"/>
    <x:col min="3" max="3" width="16" hidden="0" customWidth="1"/>
    <x:col min="4" max="4" width="17" hidden="0" customWidth="1"/>
    <x:col min="5" max="5" width="15" hidden="0" customWidth="1"/>
    <x:col min="6" max="6" width="15" hidden="0" customWidth="1"/>
    <x:col min="7" max="7" width="18" hidden="0" customWidth="1"/>
    <x:col min="8" max="8" width="18" hidden="0" customWidth="1"/>
    <x:col min="9" max="9" width="15" hidden="0" customWidth="1"/>
    <x:col min="10" max="10" width="15" hidden="0" customWidth="1"/>
    <x:col min="11" max="11" width="15" hidden="0" customWidth="1"/>
    <x:col min="12" max="12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6" customHeight="1">
      <x:c r="A2" s="2" t="str">
        <x:v>每日工時分類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2025 年 5 月；分鐘為單位，轉場另列，不併入服務分鐘。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4" customHeight="1">
      <x:c r="A5" s="7" t="str">
        <x:v>員工代碼</x:v>
      </x:c>
      <x:c r="B5" s="7" t="str">
        <x:v>顯示名稱</x:v>
      </x:c>
      <x:c r="C5" s="7" t="str">
        <x:v>服務日期</x:v>
      </x:c>
      <x:c r="D5" s="7" t="str">
        <x:v>分類日別</x:v>
      </x:c>
      <x:c r="E5" s="7" t="str">
        <x:v>服務分鐘</x:v>
      </x:c>
      <x:c r="F5" s="7" t="str">
        <x:v>一般服務</x:v>
      </x:c>
      <x:c r="G5" s="7" t="str">
        <x:v>延長前2小時</x:v>
      </x:c>
      <x:c r="H5" s="7" t="str">
        <x:v>延長後2小時</x:v>
      </x:c>
      <x:c r="I5" s="7" t="str">
        <x:v>休息日</x:v>
      </x:c>
      <x:c r="J5" s="7" t="str">
        <x:v>示範假日</x:v>
      </x:c>
      <x:c r="K5" s="7" t="str">
        <x:v>轉場分鐘</x:v>
      </x:c>
      <x:c r="L5" s="7" t="str">
        <x:v>分類差額</x:v>
      </x:c>
      <x:c r="M5" s="1"/>
      <x:c r="N5" s="1"/>
      <x:c r="O5" s="1"/>
      <x:c r="P5" s="1"/>
      <x:c r="Q5" s="1"/>
      <x:c r="R5" s="1"/>
    </x:row>
    <x:row r="6">
      <x:c r="A6" s="1" t="str">
        <x:v>E01</x:v>
      </x:c>
      <x:c r="B6" s="1" t="str">
        <x:v>示範員工A</x:v>
      </x:c>
      <x:c r="C6" s="13" t="d">
        <x:v>2025-05-01T00:00:00.000Z</x:v>
      </x:c>
      <x:c r="D6" s="1" t="str">
        <x:v>一般工作日</x:v>
      </x:c>
      <x:c r="E6" s="14" t="n">
        <x:v>300</x:v>
      </x:c>
      <x:c r="F6" s="14" t="n">
        <x:v>300</x:v>
      </x:c>
      <x:c r="G6" s="14" t="n">
        <x:v>0</x:v>
      </x:c>
      <x:c r="H6" s="14" t="n">
        <x:v>0</x:v>
      </x:c>
      <x:c r="I6" s="14" t="n">
        <x:v>0</x:v>
      </x:c>
      <x:c r="J6" s="14" t="n">
        <x:v>0</x:v>
      </x:c>
      <x:c r="K6" s="14" t="n">
        <x:v>15</x:v>
      </x:c>
      <x:c r="L6" s="14" t="n">
        <x:f>E6-SUM(F6:J6)</x:f>
        <x:v>0</x:v>
      </x:c>
      <x:c r="M6" s="1"/>
      <x:c r="N6" s="1"/>
      <x:c r="O6" s="1"/>
      <x:c r="P6" s="1"/>
      <x:c r="Q6" s="1"/>
      <x:c r="R6" s="1"/>
    </x:row>
    <x:row r="7">
      <x:c r="A7" s="15" t="str">
        <x:v>E01</x:v>
      </x:c>
      <x:c r="B7" s="15" t="str">
        <x:v>示範員工A</x:v>
      </x:c>
      <x:c r="C7" s="16" t="d">
        <x:v>2025-05-02T00:00:00.000Z</x:v>
      </x:c>
      <x:c r="D7" s="15" t="str">
        <x:v>一般工作日</x:v>
      </x:c>
      <x:c r="E7" s="17" t="n">
        <x:v>300</x:v>
      </x:c>
      <x:c r="F7" s="17" t="n">
        <x:v>300</x:v>
      </x:c>
      <x:c r="G7" s="17" t="n">
        <x:v>0</x:v>
      </x:c>
      <x:c r="H7" s="17" t="n">
        <x:v>0</x:v>
      </x:c>
      <x:c r="I7" s="17" t="n">
        <x:v>0</x:v>
      </x:c>
      <x:c r="J7" s="17" t="n">
        <x:v>0</x:v>
      </x:c>
      <x:c r="K7" s="17" t="n">
        <x:v>0</x:v>
      </x:c>
      <x:c r="L7" s="17" t="n">
        <x:f>E7-SUM(F7:J7)</x:f>
        <x:v>0</x:v>
      </x:c>
      <x:c r="M7" s="1"/>
      <x:c r="N7" s="1"/>
      <x:c r="O7" s="1"/>
      <x:c r="P7" s="1"/>
      <x:c r="Q7" s="1"/>
      <x:c r="R7" s="1"/>
    </x:row>
    <x:row r="8">
      <x:c r="A8" s="1" t="str">
        <x:v>E01</x:v>
      </x:c>
      <x:c r="B8" s="1" t="str">
        <x:v>示範員工A</x:v>
      </x:c>
      <x:c r="C8" s="13" t="d">
        <x:v>2025-05-05T00:00:00.000Z</x:v>
      </x:c>
      <x:c r="D8" s="1" t="str">
        <x:v>一般工作日</x:v>
      </x:c>
      <x:c r="E8" s="14" t="n">
        <x:v>300</x:v>
      </x:c>
      <x:c r="F8" s="14" t="n">
        <x:v>300</x:v>
      </x:c>
      <x:c r="G8" s="14" t="n">
        <x:v>0</x:v>
      </x:c>
      <x:c r="H8" s="14" t="n">
        <x:v>0</x:v>
      </x:c>
      <x:c r="I8" s="14" t="n">
        <x:v>0</x:v>
      </x:c>
      <x:c r="J8" s="14" t="n">
        <x:v>0</x:v>
      </x:c>
      <x:c r="K8" s="14" t="n">
        <x:v>0</x:v>
      </x:c>
      <x:c r="L8" s="14" t="n">
        <x:f>E8-SUM(F8:J8)</x:f>
        <x:v>0</x:v>
      </x:c>
      <x:c r="M8" s="1"/>
      <x:c r="N8" s="1"/>
      <x:c r="O8" s="1"/>
      <x:c r="P8" s="1"/>
      <x:c r="Q8" s="1"/>
      <x:c r="R8" s="1"/>
    </x:row>
    <x:row r="9">
      <x:c r="A9" s="15" t="str">
        <x:v>E01</x:v>
      </x:c>
      <x:c r="B9" s="15" t="str">
        <x:v>示範員工A</x:v>
      </x:c>
      <x:c r="C9" s="16" t="d">
        <x:v>2025-05-06T00:00:00.000Z</x:v>
      </x:c>
      <x:c r="D9" s="15" t="str">
        <x:v>一般工作日</x:v>
      </x:c>
      <x:c r="E9" s="17" t="n">
        <x:v>300</x:v>
      </x:c>
      <x:c r="F9" s="17" t="n">
        <x:v>300</x:v>
      </x:c>
      <x:c r="G9" s="17" t="n">
        <x:v>0</x:v>
      </x:c>
      <x:c r="H9" s="17" t="n">
        <x:v>0</x:v>
      </x:c>
      <x:c r="I9" s="17" t="n">
        <x:v>0</x:v>
      </x:c>
      <x:c r="J9" s="17" t="n">
        <x:v>0</x:v>
      </x:c>
      <x:c r="K9" s="17" t="n">
        <x:v>0</x:v>
      </x:c>
      <x:c r="L9" s="17" t="n">
        <x:f>E9-SUM(F9:J9)</x:f>
        <x:v>0</x:v>
      </x:c>
      <x:c r="M9" s="1"/>
      <x:c r="N9" s="1"/>
      <x:c r="O9" s="1"/>
      <x:c r="P9" s="1"/>
      <x:c r="Q9" s="1"/>
      <x:c r="R9" s="1"/>
    </x:row>
    <x:row r="10">
      <x:c r="A10" s="1" t="str">
        <x:v>E01</x:v>
      </x:c>
      <x:c r="B10" s="1" t="str">
        <x:v>示範員工A</x:v>
      </x:c>
      <x:c r="C10" s="13" t="d">
        <x:v>2025-05-07T00:00:00.000Z</x:v>
      </x:c>
      <x:c r="D10" s="1" t="str">
        <x:v>一般工作日</x:v>
      </x:c>
      <x:c r="E10" s="14" t="n">
        <x:v>300</x:v>
      </x:c>
      <x:c r="F10" s="14" t="n">
        <x:v>300</x:v>
      </x:c>
      <x:c r="G10" s="14" t="n">
        <x:v>0</x:v>
      </x:c>
      <x:c r="H10" s="14" t="n">
        <x:v>0</x:v>
      </x:c>
      <x:c r="I10" s="14" t="n">
        <x:v>0</x:v>
      </x:c>
      <x:c r="J10" s="14" t="n">
        <x:v>0</x:v>
      </x:c>
      <x:c r="K10" s="14" t="n">
        <x:v>0</x:v>
      </x:c>
      <x:c r="L10" s="14" t="n">
        <x:f>E10-SUM(F10:J10)</x:f>
        <x:v>0</x:v>
      </x:c>
      <x:c r="M10" s="1"/>
      <x:c r="N10" s="1"/>
      <x:c r="O10" s="1"/>
      <x:c r="P10" s="1"/>
      <x:c r="Q10" s="1"/>
      <x:c r="R10" s="1"/>
    </x:row>
    <x:row r="11">
      <x:c r="A11" s="15" t="str">
        <x:v>E01</x:v>
      </x:c>
      <x:c r="B11" s="15" t="str">
        <x:v>示範員工A</x:v>
      </x:c>
      <x:c r="C11" s="16" t="d">
        <x:v>2025-05-08T00:00:00.000Z</x:v>
      </x:c>
      <x:c r="D11" s="15" t="str">
        <x:v>一般工作日</x:v>
      </x:c>
      <x:c r="E11" s="17" t="n">
        <x:v>300</x:v>
      </x:c>
      <x:c r="F11" s="17" t="n">
        <x:v>300</x:v>
      </x:c>
      <x:c r="G11" s="17" t="n">
        <x:v>0</x:v>
      </x:c>
      <x:c r="H11" s="17" t="n">
        <x:v>0</x:v>
      </x:c>
      <x:c r="I11" s="17" t="n">
        <x:v>0</x:v>
      </x:c>
      <x:c r="J11" s="17" t="n">
        <x:v>0</x:v>
      </x:c>
      <x:c r="K11" s="17" t="n">
        <x:v>0</x:v>
      </x:c>
      <x:c r="L11" s="17" t="n">
        <x:f>E11-SUM(F11:J11)</x:f>
        <x:v>0</x:v>
      </x:c>
      <x:c r="M11" s="1"/>
      <x:c r="N11" s="1"/>
      <x:c r="O11" s="1"/>
      <x:c r="P11" s="1"/>
      <x:c r="Q11" s="1"/>
      <x:c r="R11" s="1"/>
    </x:row>
    <x:row r="12">
      <x:c r="A12" s="1" t="str">
        <x:v>E01</x:v>
      </x:c>
      <x:c r="B12" s="1" t="str">
        <x:v>示範員工A</x:v>
      </x:c>
      <x:c r="C12" s="13" t="d">
        <x:v>2025-05-09T00:00:00.000Z</x:v>
      </x:c>
      <x:c r="D12" s="1" t="str">
        <x:v>一般工作日</x:v>
      </x:c>
      <x:c r="E12" s="14" t="n">
        <x:v>300</x:v>
      </x:c>
      <x:c r="F12" s="14" t="n">
        <x:v>300</x:v>
      </x:c>
      <x:c r="G12" s="14" t="n">
        <x:v>0</x:v>
      </x:c>
      <x:c r="H12" s="14" t="n">
        <x:v>0</x:v>
      </x:c>
      <x:c r="I12" s="14" t="n">
        <x:v>0</x:v>
      </x:c>
      <x:c r="J12" s="14" t="n">
        <x:v>0</x:v>
      </x:c>
      <x:c r="K12" s="14" t="n">
        <x:v>0</x:v>
      </x:c>
      <x:c r="L12" s="14" t="n">
        <x:f>E12-SUM(F12:J12)</x:f>
        <x:v>0</x:v>
      </x:c>
      <x:c r="M12" s="1"/>
      <x:c r="N12" s="1"/>
      <x:c r="O12" s="1"/>
      <x:c r="P12" s="1"/>
      <x:c r="Q12" s="1"/>
      <x:c r="R12" s="1"/>
    </x:row>
    <x:row r="13">
      <x:c r="A13" s="15" t="str">
        <x:v>E01</x:v>
      </x:c>
      <x:c r="B13" s="15" t="str">
        <x:v>示範員工A</x:v>
      </x:c>
      <x:c r="C13" s="16" t="d">
        <x:v>2025-05-12T00:00:00.000Z</x:v>
      </x:c>
      <x:c r="D13" s="15" t="str">
        <x:v>一般工作日</x:v>
      </x:c>
      <x:c r="E13" s="17" t="n">
        <x:v>300</x:v>
      </x:c>
      <x:c r="F13" s="17" t="n">
        <x:v>300</x:v>
      </x:c>
      <x:c r="G13" s="17" t="n">
        <x:v>0</x:v>
      </x:c>
      <x:c r="H13" s="17" t="n">
        <x:v>0</x:v>
      </x:c>
      <x:c r="I13" s="17" t="n">
        <x:v>0</x:v>
      </x:c>
      <x:c r="J13" s="17" t="n">
        <x:v>0</x:v>
      </x:c>
      <x:c r="K13" s="17" t="n">
        <x:v>0</x:v>
      </x:c>
      <x:c r="L13" s="17" t="n">
        <x:f>E13-SUM(F13:J13)</x:f>
        <x:v>0</x:v>
      </x:c>
      <x:c r="M13" s="1"/>
      <x:c r="N13" s="1"/>
      <x:c r="O13" s="1"/>
      <x:c r="P13" s="1"/>
      <x:c r="Q13" s="1"/>
      <x:c r="R13" s="1"/>
    </x:row>
    <x:row r="14">
      <x:c r="A14" s="1" t="str">
        <x:v>E01</x:v>
      </x:c>
      <x:c r="B14" s="1" t="str">
        <x:v>示範員工A</x:v>
      </x:c>
      <x:c r="C14" s="13" t="d">
        <x:v>2025-05-13T00:00:00.000Z</x:v>
      </x:c>
      <x:c r="D14" s="1" t="str">
        <x:v>一般工作日</x:v>
      </x:c>
      <x:c r="E14" s="14" t="n">
        <x:v>300</x:v>
      </x:c>
      <x:c r="F14" s="14" t="n">
        <x:v>300</x:v>
      </x:c>
      <x:c r="G14" s="14" t="n">
        <x:v>0</x:v>
      </x:c>
      <x:c r="H14" s="14" t="n">
        <x:v>0</x:v>
      </x:c>
      <x:c r="I14" s="14" t="n">
        <x:v>0</x:v>
      </x:c>
      <x:c r="J14" s="14" t="n">
        <x:v>0</x:v>
      </x:c>
      <x:c r="K14" s="14" t="n">
        <x:v>0</x:v>
      </x:c>
      <x:c r="L14" s="14" t="n">
        <x:f>E14-SUM(F14:J14)</x:f>
        <x:v>0</x:v>
      </x:c>
      <x:c r="M14" s="1"/>
      <x:c r="N14" s="1"/>
      <x:c r="O14" s="1"/>
      <x:c r="P14" s="1"/>
      <x:c r="Q14" s="1"/>
      <x:c r="R14" s="1"/>
    </x:row>
    <x:row r="15">
      <x:c r="A15" s="15" t="str">
        <x:v>E01</x:v>
      </x:c>
      <x:c r="B15" s="15" t="str">
        <x:v>示範員工A</x:v>
      </x:c>
      <x:c r="C15" s="16" t="d">
        <x:v>2025-05-14T00:00:00.000Z</x:v>
      </x:c>
      <x:c r="D15" s="15" t="str">
        <x:v>示範假日</x:v>
      </x:c>
      <x:c r="E15" s="17" t="n">
        <x:v>300</x:v>
      </x:c>
      <x:c r="F15" s="17" t="n">
        <x:v>0</x:v>
      </x:c>
      <x:c r="G15" s="17" t="n">
        <x:v>0</x:v>
      </x:c>
      <x:c r="H15" s="17" t="n">
        <x:v>0</x:v>
      </x:c>
      <x:c r="I15" s="17" t="n">
        <x:v>0</x:v>
      </x:c>
      <x:c r="J15" s="17" t="n">
        <x:v>300</x:v>
      </x:c>
      <x:c r="K15" s="17" t="n">
        <x:v>0</x:v>
      </x:c>
      <x:c r="L15" s="17" t="n">
        <x:f>E15-SUM(F15:J15)</x:f>
        <x:v>0</x:v>
      </x:c>
      <x:c r="M15" s="1"/>
      <x:c r="N15" s="1"/>
      <x:c r="O15" s="1"/>
      <x:c r="P15" s="1"/>
      <x:c r="Q15" s="1"/>
      <x:c r="R15" s="1"/>
    </x:row>
    <x:row r="16">
      <x:c r="A16" s="1" t="str">
        <x:v>E01</x:v>
      </x:c>
      <x:c r="B16" s="1" t="str">
        <x:v>示範員工A</x:v>
      </x:c>
      <x:c r="C16" s="13" t="d">
        <x:v>2025-05-15T00:00:00.000Z</x:v>
      </x:c>
      <x:c r="D16" s="1" t="str">
        <x:v>一般工作日</x:v>
      </x:c>
      <x:c r="E16" s="14" t="n">
        <x:v>300</x:v>
      </x:c>
      <x:c r="F16" s="14" t="n">
        <x:v>300</x:v>
      </x:c>
      <x:c r="G16" s="14" t="n">
        <x:v>0</x:v>
      </x:c>
      <x:c r="H16" s="14" t="n">
        <x:v>0</x:v>
      </x:c>
      <x:c r="I16" s="14" t="n">
        <x:v>0</x:v>
      </x:c>
      <x:c r="J16" s="14" t="n">
        <x:v>0</x:v>
      </x:c>
      <x:c r="K16" s="14" t="n">
        <x:v>0</x:v>
      </x:c>
      <x:c r="L16" s="14" t="n">
        <x:f>E16-SUM(F16:J16)</x:f>
        <x:v>0</x:v>
      </x:c>
      <x:c r="M16" s="1"/>
      <x:c r="N16" s="1"/>
      <x:c r="O16" s="1"/>
      <x:c r="P16" s="1"/>
      <x:c r="Q16" s="1"/>
      <x:c r="R16" s="1"/>
    </x:row>
    <x:row r="17">
      <x:c r="A17" s="15" t="str">
        <x:v>E01</x:v>
      </x:c>
      <x:c r="B17" s="15" t="str">
        <x:v>示範員工A</x:v>
      </x:c>
      <x:c r="C17" s="16" t="d">
        <x:v>2025-05-16T00:00:00.000Z</x:v>
      </x:c>
      <x:c r="D17" s="15" t="str">
        <x:v>一般工作日</x:v>
      </x:c>
      <x:c r="E17" s="17" t="n">
        <x:v>300</x:v>
      </x:c>
      <x:c r="F17" s="17" t="n">
        <x:v>300</x:v>
      </x:c>
      <x:c r="G17" s="17" t="n">
        <x:v>0</x:v>
      </x:c>
      <x:c r="H17" s="17" t="n">
        <x:v>0</x:v>
      </x:c>
      <x:c r="I17" s="17" t="n">
        <x:v>0</x:v>
      </x:c>
      <x:c r="J17" s="17" t="n">
        <x:v>0</x:v>
      </x:c>
      <x:c r="K17" s="17" t="n">
        <x:v>0</x:v>
      </x:c>
      <x:c r="L17" s="17" t="n">
        <x:f>E17-SUM(F17:J17)</x:f>
        <x:v>0</x:v>
      </x:c>
      <x:c r="M17" s="1"/>
      <x:c r="N17" s="1"/>
      <x:c r="O17" s="1"/>
      <x:c r="P17" s="1"/>
      <x:c r="Q17" s="1"/>
      <x:c r="R17" s="1"/>
    </x:row>
    <x:row r="18">
      <x:c r="A18" s="1" t="str">
        <x:v>E01</x:v>
      </x:c>
      <x:c r="B18" s="1" t="str">
        <x:v>示範員工A</x:v>
      </x:c>
      <x:c r="C18" s="13" t="d">
        <x:v>2025-05-19T00:00:00.000Z</x:v>
      </x:c>
      <x:c r="D18" s="1" t="str">
        <x:v>一般工作日</x:v>
      </x:c>
      <x:c r="E18" s="14" t="n">
        <x:v>300</x:v>
      </x:c>
      <x:c r="F18" s="14" t="n">
        <x:v>300</x:v>
      </x:c>
      <x:c r="G18" s="14" t="n">
        <x:v>0</x:v>
      </x:c>
      <x:c r="H18" s="14" t="n">
        <x:v>0</x:v>
      </x:c>
      <x:c r="I18" s="14" t="n">
        <x:v>0</x:v>
      </x:c>
      <x:c r="J18" s="14" t="n">
        <x:v>0</x:v>
      </x:c>
      <x:c r="K18" s="14" t="n">
        <x:v>0</x:v>
      </x:c>
      <x:c r="L18" s="14" t="n">
        <x:f>E18-SUM(F18:J18)</x:f>
        <x:v>0</x:v>
      </x:c>
      <x:c r="M18" s="1"/>
      <x:c r="N18" s="1"/>
      <x:c r="O18" s="1"/>
      <x:c r="P18" s="1"/>
      <x:c r="Q18" s="1"/>
      <x:c r="R18" s="1"/>
    </x:row>
    <x:row r="19">
      <x:c r="A19" s="15" t="str">
        <x:v>E01</x:v>
      </x:c>
      <x:c r="B19" s="15" t="str">
        <x:v>示範員工A</x:v>
      </x:c>
      <x:c r="C19" s="16" t="d">
        <x:v>2025-05-20T00:00:00.000Z</x:v>
      </x:c>
      <x:c r="D19" s="15" t="str">
        <x:v>一般工作日</x:v>
      </x:c>
      <x:c r="E19" s="17" t="n">
        <x:v>300</x:v>
      </x:c>
      <x:c r="F19" s="17" t="n">
        <x:v>300</x:v>
      </x:c>
      <x:c r="G19" s="17" t="n">
        <x:v>0</x:v>
      </x:c>
      <x:c r="H19" s="17" t="n">
        <x:v>0</x:v>
      </x:c>
      <x:c r="I19" s="17" t="n">
        <x:v>0</x:v>
      </x:c>
      <x:c r="J19" s="17" t="n">
        <x:v>0</x:v>
      </x:c>
      <x:c r="K19" s="17" t="n">
        <x:v>0</x:v>
      </x:c>
      <x:c r="L19" s="17" t="n">
        <x:f>E19-SUM(F19:J19)</x:f>
        <x:v>0</x:v>
      </x:c>
      <x:c r="M19" s="1"/>
      <x:c r="N19" s="1"/>
      <x:c r="O19" s="1"/>
      <x:c r="P19" s="1"/>
      <x:c r="Q19" s="1"/>
      <x:c r="R19" s="1"/>
    </x:row>
    <x:row r="20">
      <x:c r="A20" s="1" t="str">
        <x:v>E01</x:v>
      </x:c>
      <x:c r="B20" s="1" t="str">
        <x:v>示範員工A</x:v>
      </x:c>
      <x:c r="C20" s="13" t="d">
        <x:v>2025-05-21T00:00:00.000Z</x:v>
      </x:c>
      <x:c r="D20" s="1" t="str">
        <x:v>一般工作日</x:v>
      </x:c>
      <x:c r="E20" s="14" t="n">
        <x:v>300</x:v>
      </x:c>
      <x:c r="F20" s="14" t="n">
        <x:v>300</x:v>
      </x:c>
      <x:c r="G20" s="14" t="n">
        <x:v>0</x:v>
      </x:c>
      <x:c r="H20" s="14" t="n">
        <x:v>0</x:v>
      </x:c>
      <x:c r="I20" s="14" t="n">
        <x:v>0</x:v>
      </x:c>
      <x:c r="J20" s="14" t="n">
        <x:v>0</x:v>
      </x:c>
      <x:c r="K20" s="14" t="n">
        <x:v>0</x:v>
      </x:c>
      <x:c r="L20" s="14" t="n">
        <x:f>E20-SUM(F20:J20)</x:f>
        <x:v>0</x:v>
      </x:c>
      <x:c r="M20" s="1"/>
      <x:c r="N20" s="1"/>
      <x:c r="O20" s="1"/>
      <x:c r="P20" s="1"/>
      <x:c r="Q20" s="1"/>
      <x:c r="R20" s="1"/>
    </x:row>
    <x:row r="21">
      <x:c r="A21" s="15" t="str">
        <x:v>E01</x:v>
      </x:c>
      <x:c r="B21" s="15" t="str">
        <x:v>示範員工A</x:v>
      </x:c>
      <x:c r="C21" s="16" t="d">
        <x:v>2025-05-22T00:00:00.000Z</x:v>
      </x:c>
      <x:c r="D21" s="15" t="str">
        <x:v>一般工作日</x:v>
      </x:c>
      <x:c r="E21" s="17" t="n">
        <x:v>300</x:v>
      </x:c>
      <x:c r="F21" s="17" t="n">
        <x:v>300</x:v>
      </x:c>
      <x:c r="G21" s="17" t="n">
        <x:v>0</x:v>
      </x:c>
      <x:c r="H21" s="17" t="n">
        <x:v>0</x:v>
      </x:c>
      <x:c r="I21" s="17" t="n">
        <x:v>0</x:v>
      </x:c>
      <x:c r="J21" s="17" t="n">
        <x:v>0</x:v>
      </x:c>
      <x:c r="K21" s="17" t="n">
        <x:v>0</x:v>
      </x:c>
      <x:c r="L21" s="17" t="n">
        <x:f>E21-SUM(F21:J21)</x:f>
        <x:v>0</x:v>
      </x:c>
      <x:c r="M21" s="1"/>
      <x:c r="N21" s="1"/>
      <x:c r="O21" s="1"/>
      <x:c r="P21" s="1"/>
      <x:c r="Q21" s="1"/>
      <x:c r="R21" s="1"/>
    </x:row>
    <x:row r="22">
      <x:c r="A22" s="1" t="str">
        <x:v>E01</x:v>
      </x:c>
      <x:c r="B22" s="1" t="str">
        <x:v>示範員工A</x:v>
      </x:c>
      <x:c r="C22" s="13" t="d">
        <x:v>2025-05-23T00:00:00.000Z</x:v>
      </x:c>
      <x:c r="D22" s="1" t="str">
        <x:v>一般工作日</x:v>
      </x:c>
      <x:c r="E22" s="14" t="n">
        <x:v>300</x:v>
      </x:c>
      <x:c r="F22" s="14" t="n">
        <x:v>300</x:v>
      </x:c>
      <x:c r="G22" s="14" t="n">
        <x:v>0</x:v>
      </x:c>
      <x:c r="H22" s="14" t="n">
        <x:v>0</x:v>
      </x:c>
      <x:c r="I22" s="14" t="n">
        <x:v>0</x:v>
      </x:c>
      <x:c r="J22" s="14" t="n">
        <x:v>0</x:v>
      </x:c>
      <x:c r="K22" s="14" t="n">
        <x:v>0</x:v>
      </x:c>
      <x:c r="L22" s="14" t="n">
        <x:f>E22-SUM(F22:J22)</x:f>
        <x:v>0</x:v>
      </x:c>
      <x:c r="M22" s="1"/>
      <x:c r="N22" s="1"/>
      <x:c r="O22" s="1"/>
      <x:c r="P22" s="1"/>
      <x:c r="Q22" s="1"/>
      <x:c r="R22" s="1"/>
    </x:row>
    <x:row r="23">
      <x:c r="A23" s="15" t="str">
        <x:v>E01</x:v>
      </x:c>
      <x:c r="B23" s="15" t="str">
        <x:v>示範員工A</x:v>
      </x:c>
      <x:c r="C23" s="16" t="d">
        <x:v>2025-05-26T00:00:00.000Z</x:v>
      </x:c>
      <x:c r="D23" s="15" t="str">
        <x:v>一般工作日</x:v>
      </x:c>
      <x:c r="E23" s="17" t="n">
        <x:v>300</x:v>
      </x:c>
      <x:c r="F23" s="17" t="n">
        <x:v>300</x:v>
      </x:c>
      <x:c r="G23" s="17" t="n">
        <x:v>0</x:v>
      </x:c>
      <x:c r="H23" s="17" t="n">
        <x:v>0</x:v>
      </x:c>
      <x:c r="I23" s="17" t="n">
        <x:v>0</x:v>
      </x:c>
      <x:c r="J23" s="17" t="n">
        <x:v>0</x:v>
      </x:c>
      <x:c r="K23" s="17" t="n">
        <x:v>0</x:v>
      </x:c>
      <x:c r="L23" s="17" t="n">
        <x:f>E23-SUM(F23:J23)</x:f>
        <x:v>0</x:v>
      </x:c>
      <x:c r="M23" s="1"/>
      <x:c r="N23" s="1"/>
      <x:c r="O23" s="1"/>
      <x:c r="P23" s="1"/>
      <x:c r="Q23" s="1"/>
      <x:c r="R23" s="1"/>
    </x:row>
    <x:row r="24">
      <x:c r="A24" s="1" t="str">
        <x:v>E01</x:v>
      </x:c>
      <x:c r="B24" s="1" t="str">
        <x:v>示範員工A</x:v>
      </x:c>
      <x:c r="C24" s="13" t="d">
        <x:v>2025-05-27T00:00:00.000Z</x:v>
      </x:c>
      <x:c r="D24" s="1" t="str">
        <x:v>一般工作日</x:v>
      </x:c>
      <x:c r="E24" s="14" t="n">
        <x:v>300</x:v>
      </x:c>
      <x:c r="F24" s="14" t="n">
        <x:v>300</x:v>
      </x:c>
      <x:c r="G24" s="14" t="n">
        <x:v>0</x:v>
      </x:c>
      <x:c r="H24" s="14" t="n">
        <x:v>0</x:v>
      </x:c>
      <x:c r="I24" s="14" t="n">
        <x:v>0</x:v>
      </x:c>
      <x:c r="J24" s="14" t="n">
        <x:v>0</x:v>
      </x:c>
      <x:c r="K24" s="14" t="n">
        <x:v>0</x:v>
      </x:c>
      <x:c r="L24" s="14" t="n">
        <x:f>E24-SUM(F24:J24)</x:f>
        <x:v>0</x:v>
      </x:c>
      <x:c r="M24" s="1"/>
      <x:c r="N24" s="1"/>
      <x:c r="O24" s="1"/>
      <x:c r="P24" s="1"/>
      <x:c r="Q24" s="1"/>
      <x:c r="R24" s="1"/>
    </x:row>
    <x:row r="25">
      <x:c r="A25" s="15" t="str">
        <x:v>E01</x:v>
      </x:c>
      <x:c r="B25" s="15" t="str">
        <x:v>示範員工A</x:v>
      </x:c>
      <x:c r="C25" s="16" t="d">
        <x:v>2025-05-28T00:00:00.000Z</x:v>
      </x:c>
      <x:c r="D25" s="15" t="str">
        <x:v>一般工作日</x:v>
      </x:c>
      <x:c r="E25" s="17" t="n">
        <x:v>300</x:v>
      </x:c>
      <x:c r="F25" s="17" t="n">
        <x:v>300</x:v>
      </x:c>
      <x:c r="G25" s="17" t="n">
        <x:v>0</x:v>
      </x:c>
      <x:c r="H25" s="17" t="n">
        <x:v>0</x:v>
      </x:c>
      <x:c r="I25" s="17" t="n">
        <x:v>0</x:v>
      </x:c>
      <x:c r="J25" s="17" t="n">
        <x:v>0</x:v>
      </x:c>
      <x:c r="K25" s="17" t="n">
        <x:v>0</x:v>
      </x:c>
      <x:c r="L25" s="17" t="n">
        <x:f>E25-SUM(F25:J25)</x:f>
        <x:v>0</x:v>
      </x:c>
      <x:c r="M25" s="1"/>
      <x:c r="N25" s="1"/>
      <x:c r="O25" s="1"/>
      <x:c r="P25" s="1"/>
      <x:c r="Q25" s="1"/>
      <x:c r="R25" s="1"/>
    </x:row>
    <x:row r="26">
      <x:c r="A26" s="1" t="str">
        <x:v>E02</x:v>
      </x:c>
      <x:c r="B26" s="1" t="str">
        <x:v>示範員工B</x:v>
      </x:c>
      <x:c r="C26" s="13" t="d">
        <x:v>2025-05-01T00:00:00.000Z</x:v>
      </x:c>
      <x:c r="D26" s="1" t="str">
        <x:v>一般工作日</x:v>
      </x:c>
      <x:c r="E26" s="14" t="n">
        <x:v>300</x:v>
      </x:c>
      <x:c r="F26" s="14" t="n">
        <x:v>300</x:v>
      </x:c>
      <x:c r="G26" s="14" t="n">
        <x:v>0</x:v>
      </x:c>
      <x:c r="H26" s="14" t="n">
        <x:v>0</x:v>
      </x:c>
      <x:c r="I26" s="14" t="n">
        <x:v>0</x:v>
      </x:c>
      <x:c r="J26" s="14" t="n">
        <x:v>0</x:v>
      </x:c>
      <x:c r="K26" s="14" t="n">
        <x:v>0</x:v>
      </x:c>
      <x:c r="L26" s="14" t="n">
        <x:f>E26-SUM(F26:J26)</x:f>
        <x:v>0</x:v>
      </x:c>
      <x:c r="M26" s="1"/>
      <x:c r="N26" s="1"/>
      <x:c r="O26" s="1"/>
      <x:c r="P26" s="1"/>
      <x:c r="Q26" s="1"/>
      <x:c r="R26" s="1"/>
    </x:row>
    <x:row r="27">
      <x:c r="A27" s="15" t="str">
        <x:v>E02</x:v>
      </x:c>
      <x:c r="B27" s="15" t="str">
        <x:v>示範員工B</x:v>
      </x:c>
      <x:c r="C27" s="16" t="d">
        <x:v>2025-05-02T00:00:00.000Z</x:v>
      </x:c>
      <x:c r="D27" s="15" t="str">
        <x:v>一般工作日</x:v>
      </x:c>
      <x:c r="E27" s="17" t="n">
        <x:v>300</x:v>
      </x:c>
      <x:c r="F27" s="17" t="n">
        <x:v>300</x:v>
      </x:c>
      <x:c r="G27" s="17" t="n">
        <x:v>0</x:v>
      </x:c>
      <x:c r="H27" s="17" t="n">
        <x:v>0</x:v>
      </x:c>
      <x:c r="I27" s="17" t="n">
        <x:v>0</x:v>
      </x:c>
      <x:c r="J27" s="17" t="n">
        <x:v>0</x:v>
      </x:c>
      <x:c r="K27" s="17" t="n">
        <x:v>0</x:v>
      </x:c>
      <x:c r="L27" s="17" t="n">
        <x:f>E27-SUM(F27:J27)</x:f>
        <x:v>0</x:v>
      </x:c>
      <x:c r="M27" s="1"/>
      <x:c r="N27" s="1"/>
      <x:c r="O27" s="1"/>
      <x:c r="P27" s="1"/>
      <x:c r="Q27" s="1"/>
      <x:c r="R27" s="1"/>
    </x:row>
    <x:row r="28">
      <x:c r="A28" s="1" t="str">
        <x:v>E02</x:v>
      </x:c>
      <x:c r="B28" s="1" t="str">
        <x:v>示範員工B</x:v>
      </x:c>
      <x:c r="C28" s="13" t="d">
        <x:v>2025-05-05T00:00:00.000Z</x:v>
      </x:c>
      <x:c r="D28" s="1" t="str">
        <x:v>一般工作日</x:v>
      </x:c>
      <x:c r="E28" s="14" t="n">
        <x:v>300</x:v>
      </x:c>
      <x:c r="F28" s="14" t="n">
        <x:v>300</x:v>
      </x:c>
      <x:c r="G28" s="14" t="n">
        <x:v>0</x:v>
      </x:c>
      <x:c r="H28" s="14" t="n">
        <x:v>0</x:v>
      </x:c>
      <x:c r="I28" s="14" t="n">
        <x:v>0</x:v>
      </x:c>
      <x:c r="J28" s="14" t="n">
        <x:v>0</x:v>
      </x:c>
      <x:c r="K28" s="14" t="n">
        <x:v>0</x:v>
      </x:c>
      <x:c r="L28" s="14" t="n">
        <x:f>E28-SUM(F28:J28)</x:f>
        <x:v>0</x:v>
      </x:c>
      <x:c r="M28" s="1"/>
      <x:c r="N28" s="1"/>
      <x:c r="O28" s="1"/>
      <x:c r="P28" s="1"/>
      <x:c r="Q28" s="1"/>
      <x:c r="R28" s="1"/>
    </x:row>
    <x:row r="29">
      <x:c r="A29" s="15" t="str">
        <x:v>E02</x:v>
      </x:c>
      <x:c r="B29" s="15" t="str">
        <x:v>示範員工B</x:v>
      </x:c>
      <x:c r="C29" s="16" t="d">
        <x:v>2025-05-06T00:00:00.000Z</x:v>
      </x:c>
      <x:c r="D29" s="15" t="str">
        <x:v>一般工作日</x:v>
      </x:c>
      <x:c r="E29" s="17" t="n">
        <x:v>300</x:v>
      </x:c>
      <x:c r="F29" s="17" t="n">
        <x:v>300</x:v>
      </x:c>
      <x:c r="G29" s="17" t="n">
        <x:v>0</x:v>
      </x:c>
      <x:c r="H29" s="17" t="n">
        <x:v>0</x:v>
      </x:c>
      <x:c r="I29" s="17" t="n">
        <x:v>0</x:v>
      </x:c>
      <x:c r="J29" s="17" t="n">
        <x:v>0</x:v>
      </x:c>
      <x:c r="K29" s="17" t="n">
        <x:v>0</x:v>
      </x:c>
      <x:c r="L29" s="17" t="n">
        <x:f>E29-SUM(F29:J29)</x:f>
        <x:v>0</x:v>
      </x:c>
      <x:c r="M29" s="1"/>
      <x:c r="N29" s="1"/>
      <x:c r="O29" s="1"/>
      <x:c r="P29" s="1"/>
      <x:c r="Q29" s="1"/>
      <x:c r="R29" s="1"/>
    </x:row>
    <x:row r="30">
      <x:c r="A30" s="1" t="str">
        <x:v>E02</x:v>
      </x:c>
      <x:c r="B30" s="1" t="str">
        <x:v>示範員工B</x:v>
      </x:c>
      <x:c r="C30" s="13" t="d">
        <x:v>2025-05-07T00:00:00.000Z</x:v>
      </x:c>
      <x:c r="D30" s="1" t="str">
        <x:v>一般工作日</x:v>
      </x:c>
      <x:c r="E30" s="14" t="n">
        <x:v>300</x:v>
      </x:c>
      <x:c r="F30" s="14" t="n">
        <x:v>300</x:v>
      </x:c>
      <x:c r="G30" s="14" t="n">
        <x:v>0</x:v>
      </x:c>
      <x:c r="H30" s="14" t="n">
        <x:v>0</x:v>
      </x:c>
      <x:c r="I30" s="14" t="n">
        <x:v>0</x:v>
      </x:c>
      <x:c r="J30" s="14" t="n">
        <x:v>0</x:v>
      </x:c>
      <x:c r="K30" s="14" t="n">
        <x:v>0</x:v>
      </x:c>
      <x:c r="L30" s="14" t="n">
        <x:f>E30-SUM(F30:J30)</x:f>
        <x:v>0</x:v>
      </x:c>
      <x:c r="M30" s="1"/>
      <x:c r="N30" s="1"/>
      <x:c r="O30" s="1"/>
      <x:c r="P30" s="1"/>
      <x:c r="Q30" s="1"/>
      <x:c r="R30" s="1"/>
    </x:row>
    <x:row r="31">
      <x:c r="A31" s="15" t="str">
        <x:v>E02</x:v>
      </x:c>
      <x:c r="B31" s="15" t="str">
        <x:v>示範員工B</x:v>
      </x:c>
      <x:c r="C31" s="16" t="d">
        <x:v>2025-05-08T00:00:00.000Z</x:v>
      </x:c>
      <x:c r="D31" s="15" t="str">
        <x:v>一般工作日</x:v>
      </x:c>
      <x:c r="E31" s="17" t="n">
        <x:v>300</x:v>
      </x:c>
      <x:c r="F31" s="17" t="n">
        <x:v>300</x:v>
      </x:c>
      <x:c r="G31" s="17" t="n">
        <x:v>0</x:v>
      </x:c>
      <x:c r="H31" s="17" t="n">
        <x:v>0</x:v>
      </x:c>
      <x:c r="I31" s="17" t="n">
        <x:v>0</x:v>
      </x:c>
      <x:c r="J31" s="17" t="n">
        <x:v>0</x:v>
      </x:c>
      <x:c r="K31" s="17" t="n">
        <x:v>0</x:v>
      </x:c>
      <x:c r="L31" s="17" t="n">
        <x:f>E31-SUM(F31:J31)</x:f>
        <x:v>0</x:v>
      </x:c>
      <x:c r="M31" s="1"/>
      <x:c r="N31" s="1"/>
      <x:c r="O31" s="1"/>
      <x:c r="P31" s="1"/>
      <x:c r="Q31" s="1"/>
      <x:c r="R31" s="1"/>
    </x:row>
    <x:row r="32">
      <x:c r="A32" s="1" t="str">
        <x:v>E02</x:v>
      </x:c>
      <x:c r="B32" s="1" t="str">
        <x:v>示範員工B</x:v>
      </x:c>
      <x:c r="C32" s="13" t="d">
        <x:v>2025-05-09T00:00:00.000Z</x:v>
      </x:c>
      <x:c r="D32" s="1" t="str">
        <x:v>一般工作日</x:v>
      </x:c>
      <x:c r="E32" s="14" t="n">
        <x:v>300</x:v>
      </x:c>
      <x:c r="F32" s="14" t="n">
        <x:v>300</x:v>
      </x:c>
      <x:c r="G32" s="14" t="n">
        <x:v>0</x:v>
      </x:c>
      <x:c r="H32" s="14" t="n">
        <x:v>0</x:v>
      </x:c>
      <x:c r="I32" s="14" t="n">
        <x:v>0</x:v>
      </x:c>
      <x:c r="J32" s="14" t="n">
        <x:v>0</x:v>
      </x:c>
      <x:c r="K32" s="14" t="n">
        <x:v>0</x:v>
      </x:c>
      <x:c r="L32" s="14" t="n">
        <x:f>E32-SUM(F32:J32)</x:f>
        <x:v>0</x:v>
      </x:c>
      <x:c r="M32" s="1"/>
      <x:c r="N32" s="1"/>
      <x:c r="O32" s="1"/>
      <x:c r="P32" s="1"/>
      <x:c r="Q32" s="1"/>
      <x:c r="R32" s="1"/>
    </x:row>
    <x:row r="33">
      <x:c r="A33" s="15" t="str">
        <x:v>E02</x:v>
      </x:c>
      <x:c r="B33" s="15" t="str">
        <x:v>示範員工B</x:v>
      </x:c>
      <x:c r="C33" s="16" t="d">
        <x:v>2025-05-12T00:00:00.000Z</x:v>
      </x:c>
      <x:c r="D33" s="15" t="str">
        <x:v>一般工作日</x:v>
      </x:c>
      <x:c r="E33" s="17" t="n">
        <x:v>300</x:v>
      </x:c>
      <x:c r="F33" s="17" t="n">
        <x:v>300</x:v>
      </x:c>
      <x:c r="G33" s="17" t="n">
        <x:v>0</x:v>
      </x:c>
      <x:c r="H33" s="17" t="n">
        <x:v>0</x:v>
      </x:c>
      <x:c r="I33" s="17" t="n">
        <x:v>0</x:v>
      </x:c>
      <x:c r="J33" s="17" t="n">
        <x:v>0</x:v>
      </x:c>
      <x:c r="K33" s="17" t="n">
        <x:v>0</x:v>
      </x:c>
      <x:c r="L33" s="17" t="n">
        <x:f>E33-SUM(F33:J33)</x:f>
        <x:v>0</x:v>
      </x:c>
      <x:c r="M33" s="1"/>
      <x:c r="N33" s="1"/>
      <x:c r="O33" s="1"/>
      <x:c r="P33" s="1"/>
      <x:c r="Q33" s="1"/>
      <x:c r="R33" s="1"/>
    </x:row>
    <x:row r="34">
      <x:c r="A34" s="1" t="str">
        <x:v>E02</x:v>
      </x:c>
      <x:c r="B34" s="1" t="str">
        <x:v>示範員工B</x:v>
      </x:c>
      <x:c r="C34" s="13" t="d">
        <x:v>2025-05-13T00:00:00.000Z</x:v>
      </x:c>
      <x:c r="D34" s="1" t="str">
        <x:v>一般工作日</x:v>
      </x:c>
      <x:c r="E34" s="14" t="n">
        <x:v>300</x:v>
      </x:c>
      <x:c r="F34" s="14" t="n">
        <x:v>300</x:v>
      </x:c>
      <x:c r="G34" s="14" t="n">
        <x:v>0</x:v>
      </x:c>
      <x:c r="H34" s="14" t="n">
        <x:v>0</x:v>
      </x:c>
      <x:c r="I34" s="14" t="n">
        <x:v>0</x:v>
      </x:c>
      <x:c r="J34" s="14" t="n">
        <x:v>0</x:v>
      </x:c>
      <x:c r="K34" s="14" t="n">
        <x:v>0</x:v>
      </x:c>
      <x:c r="L34" s="14" t="n">
        <x:f>E34-SUM(F34:J34)</x:f>
        <x:v>0</x:v>
      </x:c>
      <x:c r="M34" s="1"/>
      <x:c r="N34" s="1"/>
      <x:c r="O34" s="1"/>
      <x:c r="P34" s="1"/>
      <x:c r="Q34" s="1"/>
      <x:c r="R34" s="1"/>
    </x:row>
    <x:row r="35">
      <x:c r="A35" s="15" t="str">
        <x:v>E02</x:v>
      </x:c>
      <x:c r="B35" s="15" t="str">
        <x:v>示範員工B</x:v>
      </x:c>
      <x:c r="C35" s="16" t="d">
        <x:v>2025-05-14T00:00:00.000Z</x:v>
      </x:c>
      <x:c r="D35" s="15" t="str">
        <x:v>示範假日</x:v>
      </x:c>
      <x:c r="E35" s="17" t="n">
        <x:v>300</x:v>
      </x:c>
      <x:c r="F35" s="17" t="n">
        <x:v>0</x:v>
      </x:c>
      <x:c r="G35" s="17" t="n">
        <x:v>0</x:v>
      </x:c>
      <x:c r="H35" s="17" t="n">
        <x:v>0</x:v>
      </x:c>
      <x:c r="I35" s="17" t="n">
        <x:v>0</x:v>
      </x:c>
      <x:c r="J35" s="17" t="n">
        <x:v>300</x:v>
      </x:c>
      <x:c r="K35" s="17" t="n">
        <x:v>0</x:v>
      </x:c>
      <x:c r="L35" s="17" t="n">
        <x:f>E35-SUM(F35:J35)</x:f>
        <x:v>0</x:v>
      </x:c>
      <x:c r="M35" s="1"/>
      <x:c r="N35" s="1"/>
      <x:c r="O35" s="1"/>
      <x:c r="P35" s="1"/>
      <x:c r="Q35" s="1"/>
      <x:c r="R35" s="1"/>
    </x:row>
    <x:row r="36">
      <x:c r="A36" s="1" t="str">
        <x:v>E02</x:v>
      </x:c>
      <x:c r="B36" s="1" t="str">
        <x:v>示範員工B</x:v>
      </x:c>
      <x:c r="C36" s="13" t="d">
        <x:v>2025-05-15T00:00:00.000Z</x:v>
      </x:c>
      <x:c r="D36" s="1" t="str">
        <x:v>一般工作日</x:v>
      </x:c>
      <x:c r="E36" s="14" t="n">
        <x:v>300</x:v>
      </x:c>
      <x:c r="F36" s="14" t="n">
        <x:v>300</x:v>
      </x:c>
      <x:c r="G36" s="14" t="n">
        <x:v>0</x:v>
      </x:c>
      <x:c r="H36" s="14" t="n">
        <x:v>0</x:v>
      </x:c>
      <x:c r="I36" s="14" t="n">
        <x:v>0</x:v>
      </x:c>
      <x:c r="J36" s="14" t="n">
        <x:v>0</x:v>
      </x:c>
      <x:c r="K36" s="14" t="n">
        <x:v>0</x:v>
      </x:c>
      <x:c r="L36" s="14" t="n">
        <x:f>E36-SUM(F36:J36)</x:f>
        <x:v>0</x:v>
      </x:c>
      <x:c r="M36" s="1"/>
      <x:c r="N36" s="1"/>
      <x:c r="O36" s="1"/>
      <x:c r="P36" s="1"/>
      <x:c r="Q36" s="1"/>
      <x:c r="R36" s="1"/>
    </x:row>
    <x:row r="37">
      <x:c r="A37" s="15" t="str">
        <x:v>E02</x:v>
      </x:c>
      <x:c r="B37" s="15" t="str">
        <x:v>示範員工B</x:v>
      </x:c>
      <x:c r="C37" s="16" t="d">
        <x:v>2025-05-16T00:00:00.000Z</x:v>
      </x:c>
      <x:c r="D37" s="15" t="str">
        <x:v>一般工作日</x:v>
      </x:c>
      <x:c r="E37" s="17" t="n">
        <x:v>300</x:v>
      </x:c>
      <x:c r="F37" s="17" t="n">
        <x:v>300</x:v>
      </x:c>
      <x:c r="G37" s="17" t="n">
        <x:v>0</x:v>
      </x:c>
      <x:c r="H37" s="17" t="n">
        <x:v>0</x:v>
      </x:c>
      <x:c r="I37" s="17" t="n">
        <x:v>0</x:v>
      </x:c>
      <x:c r="J37" s="17" t="n">
        <x:v>0</x:v>
      </x:c>
      <x:c r="K37" s="17" t="n">
        <x:v>0</x:v>
      </x:c>
      <x:c r="L37" s="17" t="n">
        <x:f>E37-SUM(F37:J37)</x:f>
        <x:v>0</x:v>
      </x:c>
      <x:c r="M37" s="1"/>
      <x:c r="N37" s="1"/>
      <x:c r="O37" s="1"/>
      <x:c r="P37" s="1"/>
      <x:c r="Q37" s="1"/>
      <x:c r="R37" s="1"/>
    </x:row>
    <x:row r="38">
      <x:c r="A38" s="1" t="str">
        <x:v>E02</x:v>
      </x:c>
      <x:c r="B38" s="1" t="str">
        <x:v>示範員工B</x:v>
      </x:c>
      <x:c r="C38" s="13" t="d">
        <x:v>2025-05-19T00:00:00.000Z</x:v>
      </x:c>
      <x:c r="D38" s="1" t="str">
        <x:v>一般工作日</x:v>
      </x:c>
      <x:c r="E38" s="14" t="n">
        <x:v>300</x:v>
      </x:c>
      <x:c r="F38" s="14" t="n">
        <x:v>300</x:v>
      </x:c>
      <x:c r="G38" s="14" t="n">
        <x:v>0</x:v>
      </x:c>
      <x:c r="H38" s="14" t="n">
        <x:v>0</x:v>
      </x:c>
      <x:c r="I38" s="14" t="n">
        <x:v>0</x:v>
      </x:c>
      <x:c r="J38" s="14" t="n">
        <x:v>0</x:v>
      </x:c>
      <x:c r="K38" s="14" t="n">
        <x:v>0</x:v>
      </x:c>
      <x:c r="L38" s="14" t="n">
        <x:f>E38-SUM(F38:J38)</x:f>
        <x:v>0</x:v>
      </x:c>
      <x:c r="M38" s="1"/>
      <x:c r="N38" s="1"/>
      <x:c r="O38" s="1"/>
      <x:c r="P38" s="1"/>
      <x:c r="Q38" s="1"/>
      <x:c r="R38" s="1"/>
    </x:row>
    <x:row r="39">
      <x:c r="A39" s="15" t="str">
        <x:v>E02</x:v>
      </x:c>
      <x:c r="B39" s="15" t="str">
        <x:v>示範員工B</x:v>
      </x:c>
      <x:c r="C39" s="16" t="d">
        <x:v>2025-05-20T00:00:00.000Z</x:v>
      </x:c>
      <x:c r="D39" s="15" t="str">
        <x:v>一般工作日</x:v>
      </x:c>
      <x:c r="E39" s="17" t="n">
        <x:v>300</x:v>
      </x:c>
      <x:c r="F39" s="17" t="n">
        <x:v>300</x:v>
      </x:c>
      <x:c r="G39" s="17" t="n">
        <x:v>0</x:v>
      </x:c>
      <x:c r="H39" s="17" t="n">
        <x:v>0</x:v>
      </x:c>
      <x:c r="I39" s="17" t="n">
        <x:v>0</x:v>
      </x:c>
      <x:c r="J39" s="17" t="n">
        <x:v>0</x:v>
      </x:c>
      <x:c r="K39" s="17" t="n">
        <x:v>0</x:v>
      </x:c>
      <x:c r="L39" s="17" t="n">
        <x:f>E39-SUM(F39:J39)</x:f>
        <x:v>0</x:v>
      </x:c>
      <x:c r="M39" s="1"/>
      <x:c r="N39" s="1"/>
      <x:c r="O39" s="1"/>
      <x:c r="P39" s="1"/>
      <x:c r="Q39" s="1"/>
      <x:c r="R39" s="1"/>
    </x:row>
    <x:row r="40">
      <x:c r="A40" s="1" t="str">
        <x:v>E02</x:v>
      </x:c>
      <x:c r="B40" s="1" t="str">
        <x:v>示範員工B</x:v>
      </x:c>
      <x:c r="C40" s="13" t="d">
        <x:v>2025-05-21T00:00:00.000Z</x:v>
      </x:c>
      <x:c r="D40" s="1" t="str">
        <x:v>一般工作日</x:v>
      </x:c>
      <x:c r="E40" s="14" t="n">
        <x:v>300</x:v>
      </x:c>
      <x:c r="F40" s="14" t="n">
        <x:v>300</x:v>
      </x:c>
      <x:c r="G40" s="14" t="n">
        <x:v>0</x:v>
      </x:c>
      <x:c r="H40" s="14" t="n">
        <x:v>0</x:v>
      </x:c>
      <x:c r="I40" s="14" t="n">
        <x:v>0</x:v>
      </x:c>
      <x:c r="J40" s="14" t="n">
        <x:v>0</x:v>
      </x:c>
      <x:c r="K40" s="14" t="n">
        <x:v>0</x:v>
      </x:c>
      <x:c r="L40" s="14" t="n">
        <x:f>E40-SUM(F40:J40)</x:f>
        <x:v>0</x:v>
      </x:c>
      <x:c r="M40" s="1"/>
      <x:c r="N40" s="1"/>
      <x:c r="O40" s="1"/>
      <x:c r="P40" s="1"/>
      <x:c r="Q40" s="1"/>
      <x:c r="R40" s="1"/>
    </x:row>
    <x:row r="41">
      <x:c r="A41" s="15" t="str">
        <x:v>E02</x:v>
      </x:c>
      <x:c r="B41" s="15" t="str">
        <x:v>示範員工B</x:v>
      </x:c>
      <x:c r="C41" s="16" t="d">
        <x:v>2025-05-22T00:00:00.000Z</x:v>
      </x:c>
      <x:c r="D41" s="15" t="str">
        <x:v>一般工作日</x:v>
      </x:c>
      <x:c r="E41" s="17" t="n">
        <x:v>300</x:v>
      </x:c>
      <x:c r="F41" s="17" t="n">
        <x:v>300</x:v>
      </x:c>
      <x:c r="G41" s="17" t="n">
        <x:v>0</x:v>
      </x:c>
      <x:c r="H41" s="17" t="n">
        <x:v>0</x:v>
      </x:c>
      <x:c r="I41" s="17" t="n">
        <x:v>0</x:v>
      </x:c>
      <x:c r="J41" s="17" t="n">
        <x:v>0</x:v>
      </x:c>
      <x:c r="K41" s="17" t="n">
        <x:v>0</x:v>
      </x:c>
      <x:c r="L41" s="17" t="n">
        <x:f>E41-SUM(F41:J41)</x:f>
        <x:v>0</x:v>
      </x:c>
      <x:c r="M41" s="1"/>
      <x:c r="N41" s="1"/>
      <x:c r="O41" s="1"/>
      <x:c r="P41" s="1"/>
      <x:c r="Q41" s="1"/>
      <x:c r="R41" s="1"/>
    </x:row>
    <x:row r="42">
      <x:c r="A42" s="1" t="str">
        <x:v>E02</x:v>
      </x:c>
      <x:c r="B42" s="1" t="str">
        <x:v>示範員工B</x:v>
      </x:c>
      <x:c r="C42" s="13" t="d">
        <x:v>2025-05-23T00:00:00.000Z</x:v>
      </x:c>
      <x:c r="D42" s="1" t="str">
        <x:v>一般工作日</x:v>
      </x:c>
      <x:c r="E42" s="14" t="n">
        <x:v>300</x:v>
      </x:c>
      <x:c r="F42" s="14" t="n">
        <x:v>300</x:v>
      </x:c>
      <x:c r="G42" s="14" t="n">
        <x:v>0</x:v>
      </x:c>
      <x:c r="H42" s="14" t="n">
        <x:v>0</x:v>
      </x:c>
      <x:c r="I42" s="14" t="n">
        <x:v>0</x:v>
      </x:c>
      <x:c r="J42" s="14" t="n">
        <x:v>0</x:v>
      </x:c>
      <x:c r="K42" s="14" t="n">
        <x:v>0</x:v>
      </x:c>
      <x:c r="L42" s="14" t="n">
        <x:f>E42-SUM(F42:J42)</x:f>
        <x:v>0</x:v>
      </x:c>
      <x:c r="M42" s="1"/>
      <x:c r="N42" s="1"/>
      <x:c r="O42" s="1"/>
      <x:c r="P42" s="1"/>
      <x:c r="Q42" s="1"/>
      <x:c r="R42" s="1"/>
    </x:row>
    <x:row r="43">
      <x:c r="A43" s="15" t="str">
        <x:v>E02</x:v>
      </x:c>
      <x:c r="B43" s="15" t="str">
        <x:v>示範員工B</x:v>
      </x:c>
      <x:c r="C43" s="16" t="d">
        <x:v>2025-05-26T00:00:00.000Z</x:v>
      </x:c>
      <x:c r="D43" s="15" t="str">
        <x:v>一般工作日</x:v>
      </x:c>
      <x:c r="E43" s="17" t="n">
        <x:v>300</x:v>
      </x:c>
      <x:c r="F43" s="17" t="n">
        <x:v>300</x:v>
      </x:c>
      <x:c r="G43" s="17" t="n">
        <x:v>0</x:v>
      </x:c>
      <x:c r="H43" s="17" t="n">
        <x:v>0</x:v>
      </x:c>
      <x:c r="I43" s="17" t="n">
        <x:v>0</x:v>
      </x:c>
      <x:c r="J43" s="17" t="n">
        <x:v>0</x:v>
      </x:c>
      <x:c r="K43" s="17" t="n">
        <x:v>0</x:v>
      </x:c>
      <x:c r="L43" s="17" t="n">
        <x:f>E43-SUM(F43:J43)</x:f>
        <x:v>0</x:v>
      </x:c>
      <x:c r="M43" s="1"/>
      <x:c r="N43" s="1"/>
      <x:c r="O43" s="1"/>
      <x:c r="P43" s="1"/>
      <x:c r="Q43" s="1"/>
      <x:c r="R43" s="1"/>
    </x:row>
    <x:row r="44">
      <x:c r="A44" s="1" t="str">
        <x:v>E02</x:v>
      </x:c>
      <x:c r="B44" s="1" t="str">
        <x:v>示範員工B</x:v>
      </x:c>
      <x:c r="C44" s="13" t="d">
        <x:v>2025-05-27T00:00:00.000Z</x:v>
      </x:c>
      <x:c r="D44" s="1" t="str">
        <x:v>一般工作日</x:v>
      </x:c>
      <x:c r="E44" s="14" t="n">
        <x:v>300</x:v>
      </x:c>
      <x:c r="F44" s="14" t="n">
        <x:v>300</x:v>
      </x:c>
      <x:c r="G44" s="14" t="n">
        <x:v>0</x:v>
      </x:c>
      <x:c r="H44" s="14" t="n">
        <x:v>0</x:v>
      </x:c>
      <x:c r="I44" s="14" t="n">
        <x:v>0</x:v>
      </x:c>
      <x:c r="J44" s="14" t="n">
        <x:v>0</x:v>
      </x:c>
      <x:c r="K44" s="14" t="n">
        <x:v>0</x:v>
      </x:c>
      <x:c r="L44" s="14" t="n">
        <x:f>E44-SUM(F44:J44)</x:f>
        <x:v>0</x:v>
      </x:c>
      <x:c r="M44" s="1"/>
      <x:c r="N44" s="1"/>
      <x:c r="O44" s="1"/>
      <x:c r="P44" s="1"/>
      <x:c r="Q44" s="1"/>
      <x:c r="R44" s="1"/>
    </x:row>
    <x:row r="45">
      <x:c r="A45" s="15" t="str">
        <x:v>E03</x:v>
      </x:c>
      <x:c r="B45" s="15" t="str">
        <x:v>示範員工C</x:v>
      </x:c>
      <x:c r="C45" s="16" t="d">
        <x:v>2025-05-01T00:00:00.000Z</x:v>
      </x:c>
      <x:c r="D45" s="15" t="str">
        <x:v>一般工作日</x:v>
      </x:c>
      <x:c r="E45" s="17" t="n">
        <x:v>420</x:v>
      </x:c>
      <x:c r="F45" s="17" t="n">
        <x:v>420</x:v>
      </x:c>
      <x:c r="G45" s="17" t="n">
        <x:v>0</x:v>
      </x:c>
      <x:c r="H45" s="17" t="n">
        <x:v>0</x:v>
      </x:c>
      <x:c r="I45" s="17" t="n">
        <x:v>0</x:v>
      </x:c>
      <x:c r="J45" s="17" t="n">
        <x:v>0</x:v>
      </x:c>
      <x:c r="K45" s="17" t="n">
        <x:v>30</x:v>
      </x:c>
      <x:c r="L45" s="17" t="n">
        <x:f>E45-SUM(F45:J45)</x:f>
        <x:v>0</x:v>
      </x:c>
      <x:c r="M45" s="1"/>
      <x:c r="N45" s="1"/>
      <x:c r="O45" s="1"/>
      <x:c r="P45" s="1"/>
      <x:c r="Q45" s="1"/>
      <x:c r="R45" s="1"/>
    </x:row>
    <x:row r="46">
      <x:c r="A46" s="1" t="str">
        <x:v>E03</x:v>
      </x:c>
      <x:c r="B46" s="1" t="str">
        <x:v>示範員工C</x:v>
      </x:c>
      <x:c r="C46" s="13" t="d">
        <x:v>2025-05-02T00:00:00.000Z</x:v>
      </x:c>
      <x:c r="D46" s="1" t="str">
        <x:v>一般工作日</x:v>
      </x:c>
      <x:c r="E46" s="14" t="n">
        <x:v>420</x:v>
      </x:c>
      <x:c r="F46" s="14" t="n">
        <x:v>420</x:v>
      </x:c>
      <x:c r="G46" s="14" t="n">
        <x:v>0</x:v>
      </x:c>
      <x:c r="H46" s="14" t="n">
        <x:v>0</x:v>
      </x:c>
      <x:c r="I46" s="14" t="n">
        <x:v>0</x:v>
      </x:c>
      <x:c r="J46" s="14" t="n">
        <x:v>0</x:v>
      </x:c>
      <x:c r="K46" s="14" t="n">
        <x:v>0</x:v>
      </x:c>
      <x:c r="L46" s="14" t="n">
        <x:f>E46-SUM(F46:J46)</x:f>
        <x:v>0</x:v>
      </x:c>
      <x:c r="M46" s="1"/>
      <x:c r="N46" s="1"/>
      <x:c r="O46" s="1"/>
      <x:c r="P46" s="1"/>
      <x:c r="Q46" s="1"/>
      <x:c r="R46" s="1"/>
    </x:row>
    <x:row r="47">
      <x:c r="A47" s="15" t="str">
        <x:v>E03</x:v>
      </x:c>
      <x:c r="B47" s="15" t="str">
        <x:v>示範員工C</x:v>
      </x:c>
      <x:c r="C47" s="16" t="d">
        <x:v>2025-05-05T00:00:00.000Z</x:v>
      </x:c>
      <x:c r="D47" s="15" t="str">
        <x:v>一般工作日</x:v>
      </x:c>
      <x:c r="E47" s="17" t="n">
        <x:v>420</x:v>
      </x:c>
      <x:c r="F47" s="17" t="n">
        <x:v>420</x:v>
      </x:c>
      <x:c r="G47" s="17" t="n">
        <x:v>0</x:v>
      </x:c>
      <x:c r="H47" s="17" t="n">
        <x:v>0</x:v>
      </x:c>
      <x:c r="I47" s="17" t="n">
        <x:v>0</x:v>
      </x:c>
      <x:c r="J47" s="17" t="n">
        <x:v>0</x:v>
      </x:c>
      <x:c r="K47" s="17" t="n">
        <x:v>0</x:v>
      </x:c>
      <x:c r="L47" s="17" t="n">
        <x:f>E47-SUM(F47:J47)</x:f>
        <x:v>0</x:v>
      </x:c>
      <x:c r="M47" s="1"/>
      <x:c r="N47" s="1"/>
      <x:c r="O47" s="1"/>
      <x:c r="P47" s="1"/>
      <x:c r="Q47" s="1"/>
      <x:c r="R47" s="1"/>
    </x:row>
    <x:row r="48">
      <x:c r="A48" s="1" t="str">
        <x:v>E03</x:v>
      </x:c>
      <x:c r="B48" s="1" t="str">
        <x:v>示範員工C</x:v>
      </x:c>
      <x:c r="C48" s="13" t="d">
        <x:v>2025-05-06T00:00:00.000Z</x:v>
      </x:c>
      <x:c r="D48" s="1" t="str">
        <x:v>一般工作日</x:v>
      </x:c>
      <x:c r="E48" s="14" t="n">
        <x:v>420</x:v>
      </x:c>
      <x:c r="F48" s="14" t="n">
        <x:v>420</x:v>
      </x:c>
      <x:c r="G48" s="14" t="n">
        <x:v>0</x:v>
      </x:c>
      <x:c r="H48" s="14" t="n">
        <x:v>0</x:v>
      </x:c>
      <x:c r="I48" s="14" t="n">
        <x:v>0</x:v>
      </x:c>
      <x:c r="J48" s="14" t="n">
        <x:v>0</x:v>
      </x:c>
      <x:c r="K48" s="14" t="n">
        <x:v>0</x:v>
      </x:c>
      <x:c r="L48" s="14" t="n">
        <x:f>E48-SUM(F48:J48)</x:f>
        <x:v>0</x:v>
      </x:c>
      <x:c r="M48" s="1"/>
      <x:c r="N48" s="1"/>
      <x:c r="O48" s="1"/>
      <x:c r="P48" s="1"/>
      <x:c r="Q48" s="1"/>
      <x:c r="R48" s="1"/>
    </x:row>
    <x:row r="49">
      <x:c r="A49" s="15" t="str">
        <x:v>E03</x:v>
      </x:c>
      <x:c r="B49" s="15" t="str">
        <x:v>示範員工C</x:v>
      </x:c>
      <x:c r="C49" s="16" t="d">
        <x:v>2025-05-07T00:00:00.000Z</x:v>
      </x:c>
      <x:c r="D49" s="15" t="str">
        <x:v>一般工作日</x:v>
      </x:c>
      <x:c r="E49" s="17" t="n">
        <x:v>420</x:v>
      </x:c>
      <x:c r="F49" s="17" t="n">
        <x:v>420</x:v>
      </x:c>
      <x:c r="G49" s="17" t="n">
        <x:v>0</x:v>
      </x:c>
      <x:c r="H49" s="17" t="n">
        <x:v>0</x:v>
      </x:c>
      <x:c r="I49" s="17" t="n">
        <x:v>0</x:v>
      </x:c>
      <x:c r="J49" s="17" t="n">
        <x:v>0</x:v>
      </x:c>
      <x:c r="K49" s="17" t="n">
        <x:v>0</x:v>
      </x:c>
      <x:c r="L49" s="17" t="n">
        <x:f>E49-SUM(F49:J49)</x:f>
        <x:v>0</x:v>
      </x:c>
      <x:c r="M49" s="1"/>
      <x:c r="N49" s="1"/>
      <x:c r="O49" s="1"/>
      <x:c r="P49" s="1"/>
      <x:c r="Q49" s="1"/>
      <x:c r="R49" s="1"/>
    </x:row>
    <x:row r="50">
      <x:c r="A50" s="1" t="str">
        <x:v>E03</x:v>
      </x:c>
      <x:c r="B50" s="1" t="str">
        <x:v>示範員工C</x:v>
      </x:c>
      <x:c r="C50" s="13" t="d">
        <x:v>2025-05-08T00:00:00.000Z</x:v>
      </x:c>
      <x:c r="D50" s="1" t="str">
        <x:v>一般工作日</x:v>
      </x:c>
      <x:c r="E50" s="14" t="n">
        <x:v>420</x:v>
      </x:c>
      <x:c r="F50" s="14" t="n">
        <x:v>420</x:v>
      </x:c>
      <x:c r="G50" s="14" t="n">
        <x:v>0</x:v>
      </x:c>
      <x:c r="H50" s="14" t="n">
        <x:v>0</x:v>
      </x:c>
      <x:c r="I50" s="14" t="n">
        <x:v>0</x:v>
      </x:c>
      <x:c r="J50" s="14" t="n">
        <x:v>0</x:v>
      </x:c>
      <x:c r="K50" s="14" t="n">
        <x:v>0</x:v>
      </x:c>
      <x:c r="L50" s="14" t="n">
        <x:f>E50-SUM(F50:J50)</x:f>
        <x:v>0</x:v>
      </x:c>
      <x:c r="M50" s="1"/>
      <x:c r="N50" s="1"/>
      <x:c r="O50" s="1"/>
      <x:c r="P50" s="1"/>
      <x:c r="Q50" s="1"/>
      <x:c r="R50" s="1"/>
    </x:row>
    <x:row r="51">
      <x:c r="A51" s="15" t="str">
        <x:v>E03</x:v>
      </x:c>
      <x:c r="B51" s="15" t="str">
        <x:v>示範員工C</x:v>
      </x:c>
      <x:c r="C51" s="16" t="d">
        <x:v>2025-05-09T00:00:00.000Z</x:v>
      </x:c>
      <x:c r="D51" s="15" t="str">
        <x:v>一般工作日</x:v>
      </x:c>
      <x:c r="E51" s="17" t="n">
        <x:v>420</x:v>
      </x:c>
      <x:c r="F51" s="17" t="n">
        <x:v>420</x:v>
      </x:c>
      <x:c r="G51" s="17" t="n">
        <x:v>0</x:v>
      </x:c>
      <x:c r="H51" s="17" t="n">
        <x:v>0</x:v>
      </x:c>
      <x:c r="I51" s="17" t="n">
        <x:v>0</x:v>
      </x:c>
      <x:c r="J51" s="17" t="n">
        <x:v>0</x:v>
      </x:c>
      <x:c r="K51" s="17" t="n">
        <x:v>0</x:v>
      </x:c>
      <x:c r="L51" s="17" t="n">
        <x:f>E51-SUM(F51:J51)</x:f>
        <x:v>0</x:v>
      </x:c>
      <x:c r="M51" s="1"/>
      <x:c r="N51" s="1"/>
      <x:c r="O51" s="1"/>
      <x:c r="P51" s="1"/>
      <x:c r="Q51" s="1"/>
      <x:c r="R51" s="1"/>
    </x:row>
    <x:row r="52">
      <x:c r="A52" s="1" t="str">
        <x:v>E03</x:v>
      </x:c>
      <x:c r="B52" s="1" t="str">
        <x:v>示範員工C</x:v>
      </x:c>
      <x:c r="C52" s="13" t="d">
        <x:v>2025-05-12T00:00:00.000Z</x:v>
      </x:c>
      <x:c r="D52" s="1" t="str">
        <x:v>一般工作日</x:v>
      </x:c>
      <x:c r="E52" s="14" t="n">
        <x:v>420</x:v>
      </x:c>
      <x:c r="F52" s="14" t="n">
        <x:v>420</x:v>
      </x:c>
      <x:c r="G52" s="14" t="n">
        <x:v>0</x:v>
      </x:c>
      <x:c r="H52" s="14" t="n">
        <x:v>0</x:v>
      </x:c>
      <x:c r="I52" s="14" t="n">
        <x:v>0</x:v>
      </x:c>
      <x:c r="J52" s="14" t="n">
        <x:v>0</x:v>
      </x:c>
      <x:c r="K52" s="14" t="n">
        <x:v>0</x:v>
      </x:c>
      <x:c r="L52" s="14" t="n">
        <x:f>E52-SUM(F52:J52)</x:f>
        <x:v>0</x:v>
      </x:c>
      <x:c r="M52" s="1"/>
      <x:c r="N52" s="1"/>
      <x:c r="O52" s="1"/>
      <x:c r="P52" s="1"/>
      <x:c r="Q52" s="1"/>
      <x:c r="R52" s="1"/>
    </x:row>
    <x:row r="53">
      <x:c r="A53" s="15" t="str">
        <x:v>E03</x:v>
      </x:c>
      <x:c r="B53" s="15" t="str">
        <x:v>示範員工C</x:v>
      </x:c>
      <x:c r="C53" s="16" t="d">
        <x:v>2025-05-13T00:00:00.000Z</x:v>
      </x:c>
      <x:c r="D53" s="15" t="str">
        <x:v>一般工作日</x:v>
      </x:c>
      <x:c r="E53" s="17" t="n">
        <x:v>420</x:v>
      </x:c>
      <x:c r="F53" s="17" t="n">
        <x:v>420</x:v>
      </x:c>
      <x:c r="G53" s="17" t="n">
        <x:v>0</x:v>
      </x:c>
      <x:c r="H53" s="17" t="n">
        <x:v>0</x:v>
      </x:c>
      <x:c r="I53" s="17" t="n">
        <x:v>0</x:v>
      </x:c>
      <x:c r="J53" s="17" t="n">
        <x:v>0</x:v>
      </x:c>
      <x:c r="K53" s="17" t="n">
        <x:v>0</x:v>
      </x:c>
      <x:c r="L53" s="17" t="n">
        <x:f>E53-SUM(F53:J53)</x:f>
        <x:v>0</x:v>
      </x:c>
      <x:c r="M53" s="1"/>
      <x:c r="N53" s="1"/>
      <x:c r="O53" s="1"/>
      <x:c r="P53" s="1"/>
      <x:c r="Q53" s="1"/>
      <x:c r="R53" s="1"/>
    </x:row>
    <x:row r="54">
      <x:c r="A54" s="1" t="str">
        <x:v>E03</x:v>
      </x:c>
      <x:c r="B54" s="1" t="str">
        <x:v>示範員工C</x:v>
      </x:c>
      <x:c r="C54" s="13" t="d">
        <x:v>2025-05-14T00:00:00.000Z</x:v>
      </x:c>
      <x:c r="D54" s="1" t="str">
        <x:v>示範假日</x:v>
      </x:c>
      <x:c r="E54" s="14" t="n">
        <x:v>420</x:v>
      </x:c>
      <x:c r="F54" s="14" t="n">
        <x:v>0</x:v>
      </x:c>
      <x:c r="G54" s="14" t="n">
        <x:v>0</x:v>
      </x:c>
      <x:c r="H54" s="14" t="n">
        <x:v>0</x:v>
      </x:c>
      <x:c r="I54" s="14" t="n">
        <x:v>0</x:v>
      </x:c>
      <x:c r="J54" s="14" t="n">
        <x:v>420</x:v>
      </x:c>
      <x:c r="K54" s="14" t="n">
        <x:v>0</x:v>
      </x:c>
      <x:c r="L54" s="14" t="n">
        <x:f>E54-SUM(F54:J54)</x:f>
        <x:v>0</x:v>
      </x:c>
      <x:c r="M54" s="1"/>
      <x:c r="N54" s="1"/>
      <x:c r="O54" s="1"/>
      <x:c r="P54" s="1"/>
      <x:c r="Q54" s="1"/>
      <x:c r="R54" s="1"/>
    </x:row>
    <x:row r="55">
      <x:c r="A55" s="15" t="str">
        <x:v>E03</x:v>
      </x:c>
      <x:c r="B55" s="15" t="str">
        <x:v>示範員工C</x:v>
      </x:c>
      <x:c r="C55" s="16" t="d">
        <x:v>2025-05-15T00:00:00.000Z</x:v>
      </x:c>
      <x:c r="D55" s="15" t="str">
        <x:v>一般工作日</x:v>
      </x:c>
      <x:c r="E55" s="17" t="n">
        <x:v>420</x:v>
      </x:c>
      <x:c r="F55" s="17" t="n">
        <x:v>420</x:v>
      </x:c>
      <x:c r="G55" s="17" t="n">
        <x:v>0</x:v>
      </x:c>
      <x:c r="H55" s="17" t="n">
        <x:v>0</x:v>
      </x:c>
      <x:c r="I55" s="17" t="n">
        <x:v>0</x:v>
      </x:c>
      <x:c r="J55" s="17" t="n">
        <x:v>0</x:v>
      </x:c>
      <x:c r="K55" s="17" t="n">
        <x:v>0</x:v>
      </x:c>
      <x:c r="L55" s="17" t="n">
        <x:f>E55-SUM(F55:J55)</x:f>
        <x:v>0</x:v>
      </x:c>
      <x:c r="M55" s="1"/>
      <x:c r="N55" s="1"/>
      <x:c r="O55" s="1"/>
      <x:c r="P55" s="1"/>
      <x:c r="Q55" s="1"/>
      <x:c r="R55" s="1"/>
    </x:row>
    <x:row r="56">
      <x:c r="A56" s="1" t="str">
        <x:v>E03</x:v>
      </x:c>
      <x:c r="B56" s="1" t="str">
        <x:v>示範員工C</x:v>
      </x:c>
      <x:c r="C56" s="13" t="d">
        <x:v>2025-05-16T00:00:00.000Z</x:v>
      </x:c>
      <x:c r="D56" s="1" t="str">
        <x:v>一般工作日</x:v>
      </x:c>
      <x:c r="E56" s="14" t="n">
        <x:v>420</x:v>
      </x:c>
      <x:c r="F56" s="14" t="n">
        <x:v>420</x:v>
      </x:c>
      <x:c r="G56" s="14" t="n">
        <x:v>0</x:v>
      </x:c>
      <x:c r="H56" s="14" t="n">
        <x:v>0</x:v>
      </x:c>
      <x:c r="I56" s="14" t="n">
        <x:v>0</x:v>
      </x:c>
      <x:c r="J56" s="14" t="n">
        <x:v>0</x:v>
      </x:c>
      <x:c r="K56" s="14" t="n">
        <x:v>0</x:v>
      </x:c>
      <x:c r="L56" s="14" t="n">
        <x:f>E56-SUM(F56:J56)</x:f>
        <x:v>0</x:v>
      </x:c>
      <x:c r="M56" s="1"/>
      <x:c r="N56" s="1"/>
      <x:c r="O56" s="1"/>
      <x:c r="P56" s="1"/>
      <x:c r="Q56" s="1"/>
      <x:c r="R56" s="1"/>
    </x:row>
    <x:row r="57">
      <x:c r="A57" s="15" t="str">
        <x:v>E03</x:v>
      </x:c>
      <x:c r="B57" s="15" t="str">
        <x:v>示範員工C</x:v>
      </x:c>
      <x:c r="C57" s="16" t="d">
        <x:v>2025-05-19T00:00:00.000Z</x:v>
      </x:c>
      <x:c r="D57" s="15" t="str">
        <x:v>一般工作日</x:v>
      </x:c>
      <x:c r="E57" s="17" t="n">
        <x:v>420</x:v>
      </x:c>
      <x:c r="F57" s="17" t="n">
        <x:v>420</x:v>
      </x:c>
      <x:c r="G57" s="17" t="n">
        <x:v>0</x:v>
      </x:c>
      <x:c r="H57" s="17" t="n">
        <x:v>0</x:v>
      </x:c>
      <x:c r="I57" s="17" t="n">
        <x:v>0</x:v>
      </x:c>
      <x:c r="J57" s="17" t="n">
        <x:v>0</x:v>
      </x:c>
      <x:c r="K57" s="17" t="n">
        <x:v>0</x:v>
      </x:c>
      <x:c r="L57" s="17" t="n">
        <x:f>E57-SUM(F57:J57)</x:f>
        <x:v>0</x:v>
      </x:c>
      <x:c r="M57" s="1"/>
      <x:c r="N57" s="1"/>
      <x:c r="O57" s="1"/>
      <x:c r="P57" s="1"/>
      <x:c r="Q57" s="1"/>
      <x:c r="R57" s="1"/>
    </x:row>
    <x:row r="58">
      <x:c r="A58" s="1" t="str">
        <x:v>E03</x:v>
      </x:c>
      <x:c r="B58" s="1" t="str">
        <x:v>示範員工C</x:v>
      </x:c>
      <x:c r="C58" s="13" t="d">
        <x:v>2025-05-20T00:00:00.000Z</x:v>
      </x:c>
      <x:c r="D58" s="1" t="str">
        <x:v>一般工作日</x:v>
      </x:c>
      <x:c r="E58" s="14" t="n">
        <x:v>420</x:v>
      </x:c>
      <x:c r="F58" s="14" t="n">
        <x:v>420</x:v>
      </x:c>
      <x:c r="G58" s="14" t="n">
        <x:v>0</x:v>
      </x:c>
      <x:c r="H58" s="14" t="n">
        <x:v>0</x:v>
      </x:c>
      <x:c r="I58" s="14" t="n">
        <x:v>0</x:v>
      </x:c>
      <x:c r="J58" s="14" t="n">
        <x:v>0</x:v>
      </x:c>
      <x:c r="K58" s="14" t="n">
        <x:v>0</x:v>
      </x:c>
      <x:c r="L58" s="14" t="n">
        <x:f>E58-SUM(F58:J58)</x:f>
        <x:v>0</x:v>
      </x:c>
      <x:c r="M58" s="1"/>
      <x:c r="N58" s="1"/>
      <x:c r="O58" s="1"/>
      <x:c r="P58" s="1"/>
      <x:c r="Q58" s="1"/>
      <x:c r="R58" s="1"/>
    </x:row>
    <x:row r="59">
      <x:c r="A59" s="15" t="str">
        <x:v>E03</x:v>
      </x:c>
      <x:c r="B59" s="15" t="str">
        <x:v>示範員工C</x:v>
      </x:c>
      <x:c r="C59" s="16" t="d">
        <x:v>2025-05-21T00:00:00.000Z</x:v>
      </x:c>
      <x:c r="D59" s="15" t="str">
        <x:v>一般工作日</x:v>
      </x:c>
      <x:c r="E59" s="17" t="n">
        <x:v>420</x:v>
      </x:c>
      <x:c r="F59" s="17" t="n">
        <x:v>420</x:v>
      </x:c>
      <x:c r="G59" s="17" t="n">
        <x:v>0</x:v>
      </x:c>
      <x:c r="H59" s="17" t="n">
        <x:v>0</x:v>
      </x:c>
      <x:c r="I59" s="17" t="n">
        <x:v>0</x:v>
      </x:c>
      <x:c r="J59" s="17" t="n">
        <x:v>0</x:v>
      </x:c>
      <x:c r="K59" s="17" t="n">
        <x:v>0</x:v>
      </x:c>
      <x:c r="L59" s="17" t="n">
        <x:f>E59-SUM(F59:J59)</x:f>
        <x:v>0</x:v>
      </x:c>
      <x:c r="M59" s="1"/>
      <x:c r="N59" s="1"/>
      <x:c r="O59" s="1"/>
      <x:c r="P59" s="1"/>
      <x:c r="Q59" s="1"/>
      <x:c r="R59" s="1"/>
    </x:row>
    <x:row r="60">
      <x:c r="A60" s="1" t="str">
        <x:v>E03</x:v>
      </x:c>
      <x:c r="B60" s="1" t="str">
        <x:v>示範員工C</x:v>
      </x:c>
      <x:c r="C60" s="13" t="d">
        <x:v>2025-05-22T00:00:00.000Z</x:v>
      </x:c>
      <x:c r="D60" s="1" t="str">
        <x:v>一般工作日</x:v>
      </x:c>
      <x:c r="E60" s="14" t="n">
        <x:v>420</x:v>
      </x:c>
      <x:c r="F60" s="14" t="n">
        <x:v>420</x:v>
      </x:c>
      <x:c r="G60" s="14" t="n">
        <x:v>0</x:v>
      </x:c>
      <x:c r="H60" s="14" t="n">
        <x:v>0</x:v>
      </x:c>
      <x:c r="I60" s="14" t="n">
        <x:v>0</x:v>
      </x:c>
      <x:c r="J60" s="14" t="n">
        <x:v>0</x:v>
      </x:c>
      <x:c r="K60" s="14" t="n">
        <x:v>0</x:v>
      </x:c>
      <x:c r="L60" s="14" t="n">
        <x:f>E60-SUM(F60:J60)</x:f>
        <x:v>0</x:v>
      </x:c>
      <x:c r="M60" s="1"/>
      <x:c r="N60" s="1"/>
      <x:c r="O60" s="1"/>
      <x:c r="P60" s="1"/>
      <x:c r="Q60" s="1"/>
      <x:c r="R60" s="1"/>
    </x:row>
    <x:row r="61">
      <x:c r="A61" s="15" t="str">
        <x:v>E03</x:v>
      </x:c>
      <x:c r="B61" s="15" t="str">
        <x:v>示範員工C</x:v>
      </x:c>
      <x:c r="C61" s="16" t="d">
        <x:v>2025-05-23T00:00:00.000Z</x:v>
      </x:c>
      <x:c r="D61" s="15" t="str">
        <x:v>一般工作日</x:v>
      </x:c>
      <x:c r="E61" s="17" t="n">
        <x:v>480</x:v>
      </x:c>
      <x:c r="F61" s="17" t="n">
        <x:v>480</x:v>
      </x:c>
      <x:c r="G61" s="17" t="n">
        <x:v>0</x:v>
      </x:c>
      <x:c r="H61" s="17" t="n">
        <x:v>0</x:v>
      </x:c>
      <x:c r="I61" s="17" t="n">
        <x:v>0</x:v>
      </x:c>
      <x:c r="J61" s="17" t="n">
        <x:v>0</x:v>
      </x:c>
      <x:c r="K61" s="17" t="n">
        <x:v>0</x:v>
      </x:c>
      <x:c r="L61" s="17" t="n">
        <x:f>E61-SUM(F61:J61)</x:f>
        <x:v>0</x:v>
      </x:c>
      <x:c r="M61" s="1"/>
      <x:c r="N61" s="1"/>
      <x:c r="O61" s="1"/>
      <x:c r="P61" s="1"/>
      <x:c r="Q61" s="1"/>
      <x:c r="R61" s="1"/>
    </x:row>
    <x:row r="62">
      <x:c r="A62" s="1" t="str">
        <x:v>E04</x:v>
      </x:c>
      <x:c r="B62" s="1" t="str">
        <x:v>示範員工D</x:v>
      </x:c>
      <x:c r="C62" s="13" t="d">
        <x:v>2025-05-01T00:00:00.000Z</x:v>
      </x:c>
      <x:c r="D62" s="1" t="str">
        <x:v>一般工作日</x:v>
      </x:c>
      <x:c r="E62" s="14" t="n">
        <x:v>480</x:v>
      </x:c>
      <x:c r="F62" s="14" t="n">
        <x:v>480</x:v>
      </x:c>
      <x:c r="G62" s="14" t="n">
        <x:v>0</x:v>
      </x:c>
      <x:c r="H62" s="14" t="n">
        <x:v>0</x:v>
      </x:c>
      <x:c r="I62" s="14" t="n">
        <x:v>0</x:v>
      </x:c>
      <x:c r="J62" s="14" t="n">
        <x:v>0</x:v>
      </x:c>
      <x:c r="K62" s="14" t="n">
        <x:v>0</x:v>
      </x:c>
      <x:c r="L62" s="14" t="n">
        <x:f>E62-SUM(F62:J62)</x:f>
        <x:v>0</x:v>
      </x:c>
      <x:c r="M62" s="1"/>
      <x:c r="N62" s="1"/>
      <x:c r="O62" s="1"/>
      <x:c r="P62" s="1"/>
      <x:c r="Q62" s="1"/>
      <x:c r="R62" s="1"/>
    </x:row>
    <x:row r="63">
      <x:c r="A63" s="15" t="str">
        <x:v>E04</x:v>
      </x:c>
      <x:c r="B63" s="15" t="str">
        <x:v>示範員工D</x:v>
      </x:c>
      <x:c r="C63" s="16" t="d">
        <x:v>2025-05-02T00:00:00.000Z</x:v>
      </x:c>
      <x:c r="D63" s="15" t="str">
        <x:v>一般工作日</x:v>
      </x:c>
      <x:c r="E63" s="17" t="n">
        <x:v>480</x:v>
      </x:c>
      <x:c r="F63" s="17" t="n">
        <x:v>480</x:v>
      </x:c>
      <x:c r="G63" s="17" t="n">
        <x:v>0</x:v>
      </x:c>
      <x:c r="H63" s="17" t="n">
        <x:v>0</x:v>
      </x:c>
      <x:c r="I63" s="17" t="n">
        <x:v>0</x:v>
      </x:c>
      <x:c r="J63" s="17" t="n">
        <x:v>0</x:v>
      </x:c>
      <x:c r="K63" s="17" t="n">
        <x:v>0</x:v>
      </x:c>
      <x:c r="L63" s="17" t="n">
        <x:f>E63-SUM(F63:J63)</x:f>
        <x:v>0</x:v>
      </x:c>
      <x:c r="M63" s="1"/>
      <x:c r="N63" s="1"/>
      <x:c r="O63" s="1"/>
      <x:c r="P63" s="1"/>
      <x:c r="Q63" s="1"/>
      <x:c r="R63" s="1"/>
    </x:row>
    <x:row r="64">
      <x:c r="A64" s="1" t="str">
        <x:v>E04</x:v>
      </x:c>
      <x:c r="B64" s="1" t="str">
        <x:v>示範員工D</x:v>
      </x:c>
      <x:c r="C64" s="13" t="d">
        <x:v>2025-05-03T00:00:00.000Z</x:v>
      </x:c>
      <x:c r="D64" s="1" t="str">
        <x:v>一般工作日</x:v>
      </x:c>
      <x:c r="E64" s="14" t="n">
        <x:v>480</x:v>
      </x:c>
      <x:c r="F64" s="14" t="n">
        <x:v>480</x:v>
      </x:c>
      <x:c r="G64" s="14" t="n">
        <x:v>0</x:v>
      </x:c>
      <x:c r="H64" s="14" t="n">
        <x:v>0</x:v>
      </x:c>
      <x:c r="I64" s="14" t="n">
        <x:v>0</x:v>
      </x:c>
      <x:c r="J64" s="14" t="n">
        <x:v>0</x:v>
      </x:c>
      <x:c r="K64" s="14" t="n">
        <x:v>0</x:v>
      </x:c>
      <x:c r="L64" s="14" t="n">
        <x:f>E64-SUM(F64:J64)</x:f>
        <x:v>0</x:v>
      </x:c>
      <x:c r="M64" s="1"/>
      <x:c r="N64" s="1"/>
      <x:c r="O64" s="1"/>
      <x:c r="P64" s="1"/>
      <x:c r="Q64" s="1"/>
      <x:c r="R64" s="1"/>
    </x:row>
    <x:row r="65">
      <x:c r="A65" s="15" t="str">
        <x:v>E04</x:v>
      </x:c>
      <x:c r="B65" s="15" t="str">
        <x:v>示範員工D</x:v>
      </x:c>
      <x:c r="C65" s="16" t="d">
        <x:v>2025-05-04T00:00:00.000Z</x:v>
      </x:c>
      <x:c r="D65" s="15" t="str">
        <x:v>休息日</x:v>
      </x:c>
      <x:c r="E65" s="17" t="n">
        <x:v>480</x:v>
      </x:c>
      <x:c r="F65" s="17" t="n">
        <x:v>0</x:v>
      </x:c>
      <x:c r="G65" s="17" t="n">
        <x:v>0</x:v>
      </x:c>
      <x:c r="H65" s="17" t="n">
        <x:v>0</x:v>
      </x:c>
      <x:c r="I65" s="17" t="n">
        <x:v>480</x:v>
      </x:c>
      <x:c r="J65" s="17" t="n">
        <x:v>0</x:v>
      </x:c>
      <x:c r="K65" s="17" t="n">
        <x:v>0</x:v>
      </x:c>
      <x:c r="L65" s="17" t="n">
        <x:f>E65-SUM(F65:J65)</x:f>
        <x:v>0</x:v>
      </x:c>
      <x:c r="M65" s="1"/>
      <x:c r="N65" s="1"/>
      <x:c r="O65" s="1"/>
      <x:c r="P65" s="1"/>
      <x:c r="Q65" s="1"/>
      <x:c r="R65" s="1"/>
    </x:row>
    <x:row r="66">
      <x:c r="A66" s="1" t="str">
        <x:v>E04</x:v>
      </x:c>
      <x:c r="B66" s="1" t="str">
        <x:v>示範員工D</x:v>
      </x:c>
      <x:c r="C66" s="13" t="d">
        <x:v>2025-05-05T00:00:00.000Z</x:v>
      </x:c>
      <x:c r="D66" s="1" t="str">
        <x:v>一般工作日</x:v>
      </x:c>
      <x:c r="E66" s="14" t="n">
        <x:v>480</x:v>
      </x:c>
      <x:c r="F66" s="14" t="n">
        <x:v>480</x:v>
      </x:c>
      <x:c r="G66" s="14" t="n">
        <x:v>0</x:v>
      </x:c>
      <x:c r="H66" s="14" t="n">
        <x:v>0</x:v>
      </x:c>
      <x:c r="I66" s="14" t="n">
        <x:v>0</x:v>
      </x:c>
      <x:c r="J66" s="14" t="n">
        <x:v>0</x:v>
      </x:c>
      <x:c r="K66" s="14" t="n">
        <x:v>0</x:v>
      </x:c>
      <x:c r="L66" s="14" t="n">
        <x:f>E66-SUM(F66:J66)</x:f>
        <x:v>0</x:v>
      </x:c>
      <x:c r="M66" s="1"/>
      <x:c r="N66" s="1"/>
      <x:c r="O66" s="1"/>
      <x:c r="P66" s="1"/>
      <x:c r="Q66" s="1"/>
      <x:c r="R66" s="1"/>
    </x:row>
    <x:row r="67">
      <x:c r="A67" s="15" t="str">
        <x:v>E04</x:v>
      </x:c>
      <x:c r="B67" s="15" t="str">
        <x:v>示範員工D</x:v>
      </x:c>
      <x:c r="C67" s="16" t="d">
        <x:v>2025-05-06T00:00:00.000Z</x:v>
      </x:c>
      <x:c r="D67" s="15" t="str">
        <x:v>一般工作日</x:v>
      </x:c>
      <x:c r="E67" s="17" t="n">
        <x:v>480</x:v>
      </x:c>
      <x:c r="F67" s="17" t="n">
        <x:v>480</x:v>
      </x:c>
      <x:c r="G67" s="17" t="n">
        <x:v>0</x:v>
      </x:c>
      <x:c r="H67" s="17" t="n">
        <x:v>0</x:v>
      </x:c>
      <x:c r="I67" s="17" t="n">
        <x:v>0</x:v>
      </x:c>
      <x:c r="J67" s="17" t="n">
        <x:v>0</x:v>
      </x:c>
      <x:c r="K67" s="17" t="n">
        <x:v>0</x:v>
      </x:c>
      <x:c r="L67" s="17" t="n">
        <x:f>E67-SUM(F67:J67)</x:f>
        <x:v>0</x:v>
      </x:c>
      <x:c r="M67" s="1"/>
      <x:c r="N67" s="1"/>
      <x:c r="O67" s="1"/>
      <x:c r="P67" s="1"/>
      <x:c r="Q67" s="1"/>
      <x:c r="R67" s="1"/>
    </x:row>
    <x:row r="68">
      <x:c r="A68" s="1" t="str">
        <x:v>E04</x:v>
      </x:c>
      <x:c r="B68" s="1" t="str">
        <x:v>示範員工D</x:v>
      </x:c>
      <x:c r="C68" s="13" t="d">
        <x:v>2025-05-07T00:00:00.000Z</x:v>
      </x:c>
      <x:c r="D68" s="1" t="str">
        <x:v>一般工作日</x:v>
      </x:c>
      <x:c r="E68" s="14" t="n">
        <x:v>480</x:v>
      </x:c>
      <x:c r="F68" s="14" t="n">
        <x:v>480</x:v>
      </x:c>
      <x:c r="G68" s="14" t="n">
        <x:v>0</x:v>
      </x:c>
      <x:c r="H68" s="14" t="n">
        <x:v>0</x:v>
      </x:c>
      <x:c r="I68" s="14" t="n">
        <x:v>0</x:v>
      </x:c>
      <x:c r="J68" s="14" t="n">
        <x:v>0</x:v>
      </x:c>
      <x:c r="K68" s="14" t="n">
        <x:v>0</x:v>
      </x:c>
      <x:c r="L68" s="14" t="n">
        <x:f>E68-SUM(F68:J68)</x:f>
        <x:v>0</x:v>
      </x:c>
      <x:c r="M68" s="1"/>
      <x:c r="N68" s="1"/>
      <x:c r="O68" s="1"/>
      <x:c r="P68" s="1"/>
      <x:c r="Q68" s="1"/>
      <x:c r="R68" s="1"/>
    </x:row>
    <x:row r="69">
      <x:c r="A69" s="15" t="str">
        <x:v>E04</x:v>
      </x:c>
      <x:c r="B69" s="15" t="str">
        <x:v>示範員工D</x:v>
      </x:c>
      <x:c r="C69" s="16" t="d">
        <x:v>2025-05-08T00:00:00.000Z</x:v>
      </x:c>
      <x:c r="D69" s="15" t="str">
        <x:v>一般工作日</x:v>
      </x:c>
      <x:c r="E69" s="17" t="n">
        <x:v>480</x:v>
      </x:c>
      <x:c r="F69" s="17" t="n">
        <x:v>480</x:v>
      </x:c>
      <x:c r="G69" s="17" t="n">
        <x:v>0</x:v>
      </x:c>
      <x:c r="H69" s="17" t="n">
        <x:v>0</x:v>
      </x:c>
      <x:c r="I69" s="17" t="n">
        <x:v>0</x:v>
      </x:c>
      <x:c r="J69" s="17" t="n">
        <x:v>0</x:v>
      </x:c>
      <x:c r="K69" s="17" t="n">
        <x:v>0</x:v>
      </x:c>
      <x:c r="L69" s="17" t="n">
        <x:f>E69-SUM(F69:J69)</x:f>
        <x:v>0</x:v>
      </x:c>
      <x:c r="M69" s="1"/>
      <x:c r="N69" s="1"/>
      <x:c r="O69" s="1"/>
      <x:c r="P69" s="1"/>
      <x:c r="Q69" s="1"/>
      <x:c r="R69" s="1"/>
    </x:row>
    <x:row r="70">
      <x:c r="A70" s="1" t="str">
        <x:v>E04</x:v>
      </x:c>
      <x:c r="B70" s="1" t="str">
        <x:v>示範員工D</x:v>
      </x:c>
      <x:c r="C70" s="13" t="d">
        <x:v>2025-05-09T00:00:00.000Z</x:v>
      </x:c>
      <x:c r="D70" s="1" t="str">
        <x:v>一般工作日</x:v>
      </x:c>
      <x:c r="E70" s="14" t="n">
        <x:v>480</x:v>
      </x:c>
      <x:c r="F70" s="14" t="n">
        <x:v>480</x:v>
      </x:c>
      <x:c r="G70" s="14" t="n">
        <x:v>0</x:v>
      </x:c>
      <x:c r="H70" s="14" t="n">
        <x:v>0</x:v>
      </x:c>
      <x:c r="I70" s="14" t="n">
        <x:v>0</x:v>
      </x:c>
      <x:c r="J70" s="14" t="n">
        <x:v>0</x:v>
      </x:c>
      <x:c r="K70" s="14" t="n">
        <x:v>0</x:v>
      </x:c>
      <x:c r="L70" s="14" t="n">
        <x:f>E70-SUM(F70:J70)</x:f>
        <x:v>0</x:v>
      </x:c>
      <x:c r="M70" s="1"/>
      <x:c r="N70" s="1"/>
      <x:c r="O70" s="1"/>
      <x:c r="P70" s="1"/>
      <x:c r="Q70" s="1"/>
      <x:c r="R70" s="1"/>
    </x:row>
    <x:row r="71">
      <x:c r="A71" s="15" t="str">
        <x:v>E04</x:v>
      </x:c>
      <x:c r="B71" s="15" t="str">
        <x:v>示範員工D</x:v>
      </x:c>
      <x:c r="C71" s="16" t="d">
        <x:v>2025-05-10T00:00:00.000Z</x:v>
      </x:c>
      <x:c r="D71" s="15" t="str">
        <x:v>一般工作日</x:v>
      </x:c>
      <x:c r="E71" s="17" t="n">
        <x:v>480</x:v>
      </x:c>
      <x:c r="F71" s="17" t="n">
        <x:v>480</x:v>
      </x:c>
      <x:c r="G71" s="17" t="n">
        <x:v>0</x:v>
      </x:c>
      <x:c r="H71" s="17" t="n">
        <x:v>0</x:v>
      </x:c>
      <x:c r="I71" s="17" t="n">
        <x:v>0</x:v>
      </x:c>
      <x:c r="J71" s="17" t="n">
        <x:v>0</x:v>
      </x:c>
      <x:c r="K71" s="17" t="n">
        <x:v>0</x:v>
      </x:c>
      <x:c r="L71" s="17" t="n">
        <x:f>E71-SUM(F71:J71)</x:f>
        <x:v>0</x:v>
      </x:c>
      <x:c r="M71" s="1"/>
      <x:c r="N71" s="1"/>
      <x:c r="O71" s="1"/>
      <x:c r="P71" s="1"/>
      <x:c r="Q71" s="1"/>
      <x:c r="R71" s="1"/>
    </x:row>
    <x:row r="72">
      <x:c r="A72" s="1" t="str">
        <x:v>E04</x:v>
      </x:c>
      <x:c r="B72" s="1" t="str">
        <x:v>示範員工D</x:v>
      </x:c>
      <x:c r="C72" s="13" t="d">
        <x:v>2025-05-11T00:00:00.000Z</x:v>
      </x:c>
      <x:c r="D72" s="1" t="str">
        <x:v>休息日</x:v>
      </x:c>
      <x:c r="E72" s="14" t="n">
        <x:v>480</x:v>
      </x:c>
      <x:c r="F72" s="14" t="n">
        <x:v>0</x:v>
      </x:c>
      <x:c r="G72" s="14" t="n">
        <x:v>0</x:v>
      </x:c>
      <x:c r="H72" s="14" t="n">
        <x:v>0</x:v>
      </x:c>
      <x:c r="I72" s="14" t="n">
        <x:v>480</x:v>
      </x:c>
      <x:c r="J72" s="14" t="n">
        <x:v>0</x:v>
      </x:c>
      <x:c r="K72" s="14" t="n">
        <x:v>0</x:v>
      </x:c>
      <x:c r="L72" s="14" t="n">
        <x:f>E72-SUM(F72:J72)</x:f>
        <x:v>0</x:v>
      </x:c>
      <x:c r="M72" s="1"/>
      <x:c r="N72" s="1"/>
      <x:c r="O72" s="1"/>
      <x:c r="P72" s="1"/>
      <x:c r="Q72" s="1"/>
      <x:c r="R72" s="1"/>
    </x:row>
    <x:row r="73">
      <x:c r="A73" s="15" t="str">
        <x:v>E04</x:v>
      </x:c>
      <x:c r="B73" s="15" t="str">
        <x:v>示範員工D</x:v>
      </x:c>
      <x:c r="C73" s="16" t="d">
        <x:v>2025-05-12T00:00:00.000Z</x:v>
      </x:c>
      <x:c r="D73" s="15" t="str">
        <x:v>一般工作日</x:v>
      </x:c>
      <x:c r="E73" s="17" t="n">
        <x:v>480</x:v>
      </x:c>
      <x:c r="F73" s="17" t="n">
        <x:v>480</x:v>
      </x:c>
      <x:c r="G73" s="17" t="n">
        <x:v>0</x:v>
      </x:c>
      <x:c r="H73" s="17" t="n">
        <x:v>0</x:v>
      </x:c>
      <x:c r="I73" s="17" t="n">
        <x:v>0</x:v>
      </x:c>
      <x:c r="J73" s="17" t="n">
        <x:v>0</x:v>
      </x:c>
      <x:c r="K73" s="17" t="n">
        <x:v>0</x:v>
      </x:c>
      <x:c r="L73" s="17" t="n">
        <x:f>E73-SUM(F73:J73)</x:f>
        <x:v>0</x:v>
      </x:c>
      <x:c r="M73" s="1"/>
      <x:c r="N73" s="1"/>
      <x:c r="O73" s="1"/>
      <x:c r="P73" s="1"/>
      <x:c r="Q73" s="1"/>
      <x:c r="R73" s="1"/>
    </x:row>
    <x:row r="74">
      <x:c r="A74" s="1" t="str">
        <x:v>E04</x:v>
      </x:c>
      <x:c r="B74" s="1" t="str">
        <x:v>示範員工D</x:v>
      </x:c>
      <x:c r="C74" s="13" t="d">
        <x:v>2025-05-14T00:00:00.000Z</x:v>
      </x:c>
      <x:c r="D74" s="1" t="str">
        <x:v>示範假日</x:v>
      </x:c>
      <x:c r="E74" s="14" t="n">
        <x:v>240</x:v>
      </x:c>
      <x:c r="F74" s="14" t="n">
        <x:v>0</x:v>
      </x:c>
      <x:c r="G74" s="14" t="n">
        <x:v>0</x:v>
      </x:c>
      <x:c r="H74" s="14" t="n">
        <x:v>0</x:v>
      </x:c>
      <x:c r="I74" s="14" t="n">
        <x:v>0</x:v>
      </x:c>
      <x:c r="J74" s="14" t="n">
        <x:v>240</x:v>
      </x:c>
      <x:c r="K74" s="14" t="n">
        <x:v>0</x:v>
      </x:c>
      <x:c r="L74" s="14" t="n">
        <x:f>E74-SUM(F74:J74)</x:f>
        <x:v>0</x:v>
      </x:c>
      <x:c r="M74" s="1"/>
      <x:c r="N74" s="1"/>
      <x:c r="O74" s="1"/>
      <x:c r="P74" s="1"/>
      <x:c r="Q74" s="1"/>
      <x:c r="R74" s="1"/>
    </x:row>
    <x:row r="75">
      <x:c r="A75" s="15" t="str">
        <x:v>E05</x:v>
      </x:c>
      <x:c r="B75" s="15" t="str">
        <x:v>示範員工E</x:v>
      </x:c>
      <x:c r="C75" s="16" t="d">
        <x:v>2025-05-01T00:00:00.000Z</x:v>
      </x:c>
      <x:c r="D75" s="15" t="str">
        <x:v>一般工作日</x:v>
      </x:c>
      <x:c r="E75" s="17" t="n">
        <x:v>540</x:v>
      </x:c>
      <x:c r="F75" s="17" t="n">
        <x:v>480</x:v>
      </x:c>
      <x:c r="G75" s="17" t="n">
        <x:v>60</x:v>
      </x:c>
      <x:c r="H75" s="17" t="n">
        <x:v>0</x:v>
      </x:c>
      <x:c r="I75" s="17" t="n">
        <x:v>0</x:v>
      </x:c>
      <x:c r="J75" s="17" t="n">
        <x:v>0</x:v>
      </x:c>
      <x:c r="K75" s="17" t="n">
        <x:v>0</x:v>
      </x:c>
      <x:c r="L75" s="17" t="n">
        <x:f>E75-SUM(F75:J75)</x:f>
        <x:v>0</x:v>
      </x:c>
      <x:c r="M75" s="1"/>
      <x:c r="N75" s="1"/>
      <x:c r="O75" s="1"/>
      <x:c r="P75" s="1"/>
      <x:c r="Q75" s="1"/>
      <x:c r="R75" s="1"/>
    </x:row>
    <x:row r="76">
      <x:c r="A76" s="1" t="str">
        <x:v>E05</x:v>
      </x:c>
      <x:c r="B76" s="1" t="str">
        <x:v>示範員工E</x:v>
      </x:c>
      <x:c r="C76" s="13" t="d">
        <x:v>2025-05-02T00:00:00.000Z</x:v>
      </x:c>
      <x:c r="D76" s="1" t="str">
        <x:v>一般工作日</x:v>
      </x:c>
      <x:c r="E76" s="14" t="n">
        <x:v>540</x:v>
      </x:c>
      <x:c r="F76" s="14" t="n">
        <x:v>480</x:v>
      </x:c>
      <x:c r="G76" s="14" t="n">
        <x:v>60</x:v>
      </x:c>
      <x:c r="H76" s="14" t="n">
        <x:v>0</x:v>
      </x:c>
      <x:c r="I76" s="14" t="n">
        <x:v>0</x:v>
      </x:c>
      <x:c r="J76" s="14" t="n">
        <x:v>0</x:v>
      </x:c>
      <x:c r="K76" s="14" t="n">
        <x:v>0</x:v>
      </x:c>
      <x:c r="L76" s="14" t="n">
        <x:f>E76-SUM(F76:J76)</x:f>
        <x:v>0</x:v>
      </x:c>
      <x:c r="M76" s="1"/>
      <x:c r="N76" s="1"/>
      <x:c r="O76" s="1"/>
      <x:c r="P76" s="1"/>
      <x:c r="Q76" s="1"/>
      <x:c r="R76" s="1"/>
    </x:row>
    <x:row r="77">
      <x:c r="A77" s="15" t="str">
        <x:v>E05</x:v>
      </x:c>
      <x:c r="B77" s="15" t="str">
        <x:v>示範員工E</x:v>
      </x:c>
      <x:c r="C77" s="16" t="d">
        <x:v>2025-05-05T00:00:00.000Z</x:v>
      </x:c>
      <x:c r="D77" s="15" t="str">
        <x:v>一般工作日</x:v>
      </x:c>
      <x:c r="E77" s="17" t="n">
        <x:v>540</x:v>
      </x:c>
      <x:c r="F77" s="17" t="n">
        <x:v>480</x:v>
      </x:c>
      <x:c r="G77" s="17" t="n">
        <x:v>60</x:v>
      </x:c>
      <x:c r="H77" s="17" t="n">
        <x:v>0</x:v>
      </x:c>
      <x:c r="I77" s="17" t="n">
        <x:v>0</x:v>
      </x:c>
      <x:c r="J77" s="17" t="n">
        <x:v>0</x:v>
      </x:c>
      <x:c r="K77" s="17" t="n">
        <x:v>0</x:v>
      </x:c>
      <x:c r="L77" s="17" t="n">
        <x:f>E77-SUM(F77:J77)</x:f>
        <x:v>0</x:v>
      </x:c>
      <x:c r="M77" s="1"/>
      <x:c r="N77" s="1"/>
      <x:c r="O77" s="1"/>
      <x:c r="P77" s="1"/>
      <x:c r="Q77" s="1"/>
      <x:c r="R77" s="1"/>
    </x:row>
    <x:row r="78">
      <x:c r="A78" s="1" t="str">
        <x:v>E05</x:v>
      </x:c>
      <x:c r="B78" s="1" t="str">
        <x:v>示範員工E</x:v>
      </x:c>
      <x:c r="C78" s="13" t="d">
        <x:v>2025-05-06T00:00:00.000Z</x:v>
      </x:c>
      <x:c r="D78" s="1" t="str">
        <x:v>一般工作日</x:v>
      </x:c>
      <x:c r="E78" s="14" t="n">
        <x:v>540</x:v>
      </x:c>
      <x:c r="F78" s="14" t="n">
        <x:v>480</x:v>
      </x:c>
      <x:c r="G78" s="14" t="n">
        <x:v>60</x:v>
      </x:c>
      <x:c r="H78" s="14" t="n">
        <x:v>0</x:v>
      </x:c>
      <x:c r="I78" s="14" t="n">
        <x:v>0</x:v>
      </x:c>
      <x:c r="J78" s="14" t="n">
        <x:v>0</x:v>
      </x:c>
      <x:c r="K78" s="14" t="n">
        <x:v>0</x:v>
      </x:c>
      <x:c r="L78" s="14" t="n">
        <x:f>E78-SUM(F78:J78)</x:f>
        <x:v>0</x:v>
      </x:c>
      <x:c r="M78" s="1"/>
      <x:c r="N78" s="1"/>
      <x:c r="O78" s="1"/>
      <x:c r="P78" s="1"/>
      <x:c r="Q78" s="1"/>
      <x:c r="R78" s="1"/>
    </x:row>
    <x:row r="79">
      <x:c r="A79" s="15" t="str">
        <x:v>E05</x:v>
      </x:c>
      <x:c r="B79" s="15" t="str">
        <x:v>示範員工E</x:v>
      </x:c>
      <x:c r="C79" s="16" t="d">
        <x:v>2025-05-07T00:00:00.000Z</x:v>
      </x:c>
      <x:c r="D79" s="15" t="str">
        <x:v>一般工作日</x:v>
      </x:c>
      <x:c r="E79" s="17" t="n">
        <x:v>540</x:v>
      </x:c>
      <x:c r="F79" s="17" t="n">
        <x:v>480</x:v>
      </x:c>
      <x:c r="G79" s="17" t="n">
        <x:v>60</x:v>
      </x:c>
      <x:c r="H79" s="17" t="n">
        <x:v>0</x:v>
      </x:c>
      <x:c r="I79" s="17" t="n">
        <x:v>0</x:v>
      </x:c>
      <x:c r="J79" s="17" t="n">
        <x:v>0</x:v>
      </x:c>
      <x:c r="K79" s="17" t="n">
        <x:v>0</x:v>
      </x:c>
      <x:c r="L79" s="17" t="n">
        <x:f>E79-SUM(F79:J79)</x:f>
        <x:v>0</x:v>
      </x:c>
      <x:c r="M79" s="1"/>
      <x:c r="N79" s="1"/>
      <x:c r="O79" s="1"/>
      <x:c r="P79" s="1"/>
      <x:c r="Q79" s="1"/>
      <x:c r="R79" s="1"/>
    </x:row>
    <x:row r="80">
      <x:c r="A80" s="1" t="str">
        <x:v>E05</x:v>
      </x:c>
      <x:c r="B80" s="1" t="str">
        <x:v>示範員工E</x:v>
      </x:c>
      <x:c r="C80" s="13" t="d">
        <x:v>2025-05-08T00:00:00.000Z</x:v>
      </x:c>
      <x:c r="D80" s="1" t="str">
        <x:v>一般工作日</x:v>
      </x:c>
      <x:c r="E80" s="14" t="n">
        <x:v>540</x:v>
      </x:c>
      <x:c r="F80" s="14" t="n">
        <x:v>480</x:v>
      </x:c>
      <x:c r="G80" s="14" t="n">
        <x:v>60</x:v>
      </x:c>
      <x:c r="H80" s="14" t="n">
        <x:v>0</x:v>
      </x:c>
      <x:c r="I80" s="14" t="n">
        <x:v>0</x:v>
      </x:c>
      <x:c r="J80" s="14" t="n">
        <x:v>0</x:v>
      </x:c>
      <x:c r="K80" s="14" t="n">
        <x:v>0</x:v>
      </x:c>
      <x:c r="L80" s="14" t="n">
        <x:f>E80-SUM(F80:J80)</x:f>
        <x:v>0</x:v>
      </x:c>
      <x:c r="M80" s="1"/>
      <x:c r="N80" s="1"/>
      <x:c r="O80" s="1"/>
      <x:c r="P80" s="1"/>
      <x:c r="Q80" s="1"/>
      <x:c r="R80" s="1"/>
    </x:row>
    <x:row r="81">
      <x:c r="A81" s="15" t="str">
        <x:v>E05</x:v>
      </x:c>
      <x:c r="B81" s="15" t="str">
        <x:v>示範員工E</x:v>
      </x:c>
      <x:c r="C81" s="16" t="d">
        <x:v>2025-05-09T00:00:00.000Z</x:v>
      </x:c>
      <x:c r="D81" s="15" t="str">
        <x:v>一般工作日</x:v>
      </x:c>
      <x:c r="E81" s="17" t="n">
        <x:v>540</x:v>
      </x:c>
      <x:c r="F81" s="17" t="n">
        <x:v>480</x:v>
      </x:c>
      <x:c r="G81" s="17" t="n">
        <x:v>60</x:v>
      </x:c>
      <x:c r="H81" s="17" t="n">
        <x:v>0</x:v>
      </x:c>
      <x:c r="I81" s="17" t="n">
        <x:v>0</x:v>
      </x:c>
      <x:c r="J81" s="17" t="n">
        <x:v>0</x:v>
      </x:c>
      <x:c r="K81" s="17" t="n">
        <x:v>0</x:v>
      </x:c>
      <x:c r="L81" s="17" t="n">
        <x:f>E81-SUM(F81:J81)</x:f>
        <x:v>0</x:v>
      </x:c>
      <x:c r="M81" s="1"/>
      <x:c r="N81" s="1"/>
      <x:c r="O81" s="1"/>
      <x:c r="P81" s="1"/>
      <x:c r="Q81" s="1"/>
      <x:c r="R81" s="1"/>
    </x:row>
    <x:row r="82">
      <x:c r="A82" s="1" t="str">
        <x:v>E05</x:v>
      </x:c>
      <x:c r="B82" s="1" t="str">
        <x:v>示範員工E</x:v>
      </x:c>
      <x:c r="C82" s="13" t="d">
        <x:v>2025-05-10T00:00:00.000Z</x:v>
      </x:c>
      <x:c r="D82" s="1" t="str">
        <x:v>一般工作日</x:v>
      </x:c>
      <x:c r="E82" s="14" t="n">
        <x:v>360</x:v>
      </x:c>
      <x:c r="F82" s="14" t="n">
        <x:v>360</x:v>
      </x:c>
      <x:c r="G82" s="14" t="n">
        <x:v>0</x:v>
      </x:c>
      <x:c r="H82" s="14" t="n">
        <x:v>0</x:v>
      </x:c>
      <x:c r="I82" s="14" t="n">
        <x:v>0</x:v>
      </x:c>
      <x:c r="J82" s="14" t="n">
        <x:v>0</x:v>
      </x:c>
      <x:c r="K82" s="14" t="n">
        <x:v>0</x:v>
      </x:c>
      <x:c r="L82" s="14" t="n">
        <x:f>E82-SUM(F82:J82)</x:f>
        <x:v>0</x:v>
      </x:c>
      <x:c r="M82" s="1"/>
      <x:c r="N82" s="1"/>
      <x:c r="O82" s="1"/>
      <x:c r="P82" s="1"/>
      <x:c r="Q82" s="1"/>
      <x:c r="R82" s="1"/>
    </x:row>
    <x:row r="83">
      <x:c r="A83" s="15" t="str">
        <x:v>E05</x:v>
      </x:c>
      <x:c r="B83" s="15" t="str">
        <x:v>示範員工E</x:v>
      </x:c>
      <x:c r="C83" s="16" t="d">
        <x:v>2025-05-12T00:00:00.000Z</x:v>
      </x:c>
      <x:c r="D83" s="15" t="str">
        <x:v>一般工作日</x:v>
      </x:c>
      <x:c r="E83" s="17" t="n">
        <x:v>540</x:v>
      </x:c>
      <x:c r="F83" s="17" t="n">
        <x:v>480</x:v>
      </x:c>
      <x:c r="G83" s="17" t="n">
        <x:v>60</x:v>
      </x:c>
      <x:c r="H83" s="17" t="n">
        <x:v>0</x:v>
      </x:c>
      <x:c r="I83" s="17" t="n">
        <x:v>0</x:v>
      </x:c>
      <x:c r="J83" s="17" t="n">
        <x:v>0</x:v>
      </x:c>
      <x:c r="K83" s="17" t="n">
        <x:v>0</x:v>
      </x:c>
      <x:c r="L83" s="17" t="n">
        <x:f>E83-SUM(F83:J83)</x:f>
        <x:v>0</x:v>
      </x:c>
      <x:c r="M83" s="1"/>
      <x:c r="N83" s="1"/>
      <x:c r="O83" s="1"/>
      <x:c r="P83" s="1"/>
      <x:c r="Q83" s="1"/>
      <x:c r="R83" s="1"/>
    </x:row>
    <x:row r="84">
      <x:c r="A84" s="1" t="str">
        <x:v>E05</x:v>
      </x:c>
      <x:c r="B84" s="1" t="str">
        <x:v>示範員工E</x:v>
      </x:c>
      <x:c r="C84" s="13" t="d">
        <x:v>2025-05-13T00:00:00.000Z</x:v>
      </x:c>
      <x:c r="D84" s="1" t="str">
        <x:v>一般工作日</x:v>
      </x:c>
      <x:c r="E84" s="14" t="n">
        <x:v>540</x:v>
      </x:c>
      <x:c r="F84" s="14" t="n">
        <x:v>480</x:v>
      </x:c>
      <x:c r="G84" s="14" t="n">
        <x:v>60</x:v>
      </x:c>
      <x:c r="H84" s="14" t="n">
        <x:v>0</x:v>
      </x:c>
      <x:c r="I84" s="14" t="n">
        <x:v>0</x:v>
      </x:c>
      <x:c r="J84" s="14" t="n">
        <x:v>0</x:v>
      </x:c>
      <x:c r="K84" s="14" t="n">
        <x:v>0</x:v>
      </x:c>
      <x:c r="L84" s="14" t="n">
        <x:f>E84-SUM(F84:J84)</x:f>
        <x:v>0</x:v>
      </x:c>
      <x:c r="M84" s="1"/>
      <x:c r="N84" s="1"/>
      <x:c r="O84" s="1"/>
      <x:c r="P84" s="1"/>
      <x:c r="Q84" s="1"/>
      <x:c r="R84" s="1"/>
    </x:row>
    <x:row r="85">
      <x:c r="A85" s="15" t="str">
        <x:v>E05</x:v>
      </x:c>
      <x:c r="B85" s="15" t="str">
        <x:v>示範員工E</x:v>
      </x:c>
      <x:c r="C85" s="16" t="d">
        <x:v>2025-05-14T00:00:00.000Z</x:v>
      </x:c>
      <x:c r="D85" s="15" t="str">
        <x:v>示範假日</x:v>
      </x:c>
      <x:c r="E85" s="17" t="n">
        <x:v>540</x:v>
      </x:c>
      <x:c r="F85" s="17" t="n">
        <x:v>0</x:v>
      </x:c>
      <x:c r="G85" s="17" t="n">
        <x:v>0</x:v>
      </x:c>
      <x:c r="H85" s="17" t="n">
        <x:v>0</x:v>
      </x:c>
      <x:c r="I85" s="17" t="n">
        <x:v>0</x:v>
      </x:c>
      <x:c r="J85" s="17" t="n">
        <x:v>540</x:v>
      </x:c>
      <x:c r="K85" s="17" t="n">
        <x:v>0</x:v>
      </x:c>
      <x:c r="L85" s="17" t="n">
        <x:f>E85-SUM(F85:J85)</x:f>
        <x:v>0</x:v>
      </x:c>
      <x:c r="M85" s="1"/>
      <x:c r="N85" s="1"/>
      <x:c r="O85" s="1"/>
      <x:c r="P85" s="1"/>
      <x:c r="Q85" s="1"/>
      <x:c r="R85" s="1"/>
    </x:row>
    <x:row r="86">
      <x:c r="A86" s="1" t="str">
        <x:v>E05</x:v>
      </x:c>
      <x:c r="B86" s="1" t="str">
        <x:v>示範員工E</x:v>
      </x:c>
      <x:c r="C86" s="13" t="d">
        <x:v>2025-05-17T00:00:00.000Z</x:v>
      </x:c>
      <x:c r="D86" s="1" t="str">
        <x:v>一般工作日</x:v>
      </x:c>
      <x:c r="E86" s="14" t="n">
        <x:v>360</x:v>
      </x:c>
      <x:c r="F86" s="14" t="n">
        <x:v>360</x:v>
      </x:c>
      <x:c r="G86" s="14" t="n">
        <x:v>0</x:v>
      </x:c>
      <x:c r="H86" s="14" t="n">
        <x:v>0</x:v>
      </x:c>
      <x:c r="I86" s="14" t="n">
        <x:v>0</x:v>
      </x:c>
      <x:c r="J86" s="14" t="n">
        <x:v>0</x:v>
      </x:c>
      <x:c r="K86" s="14" t="n">
        <x:v>0</x:v>
      </x:c>
      <x:c r="L86" s="14" t="n">
        <x:f>E86-SUM(F86:J86)</x:f>
        <x:v>0</x:v>
      </x:c>
      <x:c r="M86" s="1"/>
      <x:c r="N86" s="1"/>
      <x:c r="O86" s="1"/>
      <x:c r="P86" s="1"/>
      <x:c r="Q86" s="1"/>
      <x:c r="R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08A9F"/>
  </x:sheetPr>
  <x:sheetViews>
    <x:sheetView showGridLines="0" workbookViewId="0"/>
  </x:sheetViews>
  <x:sheetFormatPr defaultRowHeight="15"/>
  <x:cols>
    <x:col min="1" max="1" width="79" hidden="0" customWidth="1"/>
    <x:col min="2" max="2" width="1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6" customHeight="1">
      <x:c r="A2" s="2" t="str">
        <x:v>示範計算規則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基本時薪（元）</x:v>
      </x:c>
      <x:c r="B3" s="10" t="n">
        <x:v>200</x:v>
      </x:c>
      <x:c r="C3" s="3"/>
      <x:c r="D3" s="3"/>
      <x:c r="E3" s="3"/>
      <x:c r="F3" s="3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4" customHeight="1">
      <x:c r="A5" s="7" t="str">
        <x:v>工時項目</x:v>
      </x:c>
      <x:c r="B5" s="7" t="str">
        <x:v>倍率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" t="str">
        <x:v>一般服務</x:v>
      </x:c>
      <x:c r="B6" s="11" t="n">
        <x:v>1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A7" s="1" t="str">
        <x:v>平日延長前 2 小時</x:v>
      </x:c>
      <x:c r="B7" s="11" t="n">
        <x:v>1.25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" t="str">
        <x:v>平日延長後 2 小時</x:v>
      </x:c>
      <x:c r="B8" s="11" t="n">
        <x:v>1.5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" t="str">
        <x:v>休息日服務</x:v>
      </x:c>
      <x:c r="B9" s="11" t="n">
        <x:v>1.25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A10" s="1" t="str">
        <x:v>示範假日服務</x:v>
      </x:c>
      <x:c r="B10" s="11" t="n">
        <x:v>1.5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1" t="str">
        <x:v>轉場</x:v>
      </x:c>
      <x:c r="B11" s="11" t="n">
        <x:v>1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" t="str">
        <x:v>獎金門檻（小時）</x:v>
      </x:c>
      <x:c r="B13" s="12" t="n">
        <x:v>100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 t="str">
        <x:v>達標獎金（元）</x:v>
      </x:c>
      <x:c r="B14" s="12" t="n">
        <x:v>1000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 t="str">
        <x:v>類型1：週一至週五為一般工作日；類型2：週一至週六為一般工作日。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" t="str">
        <x:v>週日及類型1週六為休息日；示範行事曆中的假日、補班日優先。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 t="str">
        <x:v>取消紀錄不計入。地點改變記 15 分鐘轉場；獎金只看服務分鐘。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 t="str">
        <x:v>全為虛構資料與作品自訂規則；非課程原始資料、實際薪資或法定加班算法。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" t="str">
        <x:v>示範應發金額未包含保險、稅、代扣或其他正式薪資項目。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3" hidden="0" customWidth="1"/>
    <x:col min="3" max="3" width="16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6" customHeight="1">
      <x:c r="A2" s="2" t="str">
        <x:v>虛構服務紀錄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</x:row>
    <x:row r="3">
      <x:c r="A3" s="3" t="str">
        <x:v>來源：本作品自行產生的模擬資料 data/services.csv</x:v>
      </x:c>
      <x:c r="B3" s="3"/>
      <x:c r="C3" s="3"/>
      <x:c r="D3" s="3"/>
      <x:c r="E3" s="3"/>
      <x:c r="F3" s="3"/>
      <x:c r="G3" s="3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</x:row>
    <x:row r="5" ht="24" customHeight="1">
      <x:c r="A5" s="7" t="str">
        <x:v>紀錄編號</x:v>
      </x:c>
      <x:c r="B5" s="7" t="str">
        <x:v>員工代碼</x:v>
      </x:c>
      <x:c r="C5" s="7" t="str">
        <x:v>服務日期</x:v>
      </x:c>
      <x:c r="D5" s="7" t="str">
        <x:v>開始時間</x:v>
      </x:c>
      <x:c r="E5" s="7" t="str">
        <x:v>服務分鐘</x:v>
      </x:c>
      <x:c r="F5" s="7" t="str">
        <x:v>服務狀態</x:v>
      </x:c>
      <x:c r="G5" s="7" t="str">
        <x:v>地點代碼</x:v>
      </x:c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</x:row>
    <x:row r="6">
      <x:c r="A6" s="1" t="str">
        <x:v>DEMO-0001</x:v>
      </x:c>
      <x:c r="B6" s="1" t="str">
        <x:v>E01</x:v>
      </x:c>
      <x:c r="C6" s="13" t="d">
        <x:v>2025-05-01T00:00:00.000Z</x:v>
      </x:c>
      <x:c r="D6" s="1" t="str">
        <x:v>09:00</x:v>
      </x:c>
      <x:c r="E6" s="14" t="n">
        <x:v>150</x:v>
      </x:c>
      <x:c r="F6" s="1" t="str">
        <x:v>已簽退</x:v>
      </x:c>
      <x:c r="G6" s="1" t="str">
        <x:v>SITE-A</x:v>
      </x:c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</x:row>
    <x:row r="7">
      <x:c r="A7" s="15" t="str">
        <x:v>DEMO-0022</x:v>
      </x:c>
      <x:c r="B7" s="15" t="str">
        <x:v>E02</x:v>
      </x:c>
      <x:c r="C7" s="16" t="d">
        <x:v>2025-05-01T00:00:00.000Z</x:v>
      </x:c>
      <x:c r="D7" s="15" t="str">
        <x:v>09:00</x:v>
      </x:c>
      <x:c r="E7" s="17" t="n">
        <x:v>300</x:v>
      </x:c>
      <x:c r="F7" s="15" t="str">
        <x:v>已簽退</x:v>
      </x:c>
      <x:c r="G7" s="15" t="str">
        <x:v>SITE-B</x:v>
      </x:c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</x:row>
    <x:row r="8">
      <x:c r="A8" s="1" t="str">
        <x:v>DEMO-0041</x:v>
      </x:c>
      <x:c r="B8" s="1" t="str">
        <x:v>E03</x:v>
      </x:c>
      <x:c r="C8" s="13" t="d">
        <x:v>2025-05-01T00:00:00.000Z</x:v>
      </x:c>
      <x:c r="D8" s="1" t="str">
        <x:v>09:00</x:v>
      </x:c>
      <x:c r="E8" s="14" t="n">
        <x:v>140</x:v>
      </x:c>
      <x:c r="F8" s="1" t="str">
        <x:v>已簽退</x:v>
      </x:c>
      <x:c r="G8" s="1" t="str">
        <x:v>SITE-A</x:v>
      </x:c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</x:row>
    <x:row r="9">
      <x:c r="A9" s="15" t="str">
        <x:v>DEMO-0060</x:v>
      </x:c>
      <x:c r="B9" s="15" t="str">
        <x:v>E04</x:v>
      </x:c>
      <x:c r="C9" s="16" t="d">
        <x:v>2025-05-01T00:00:00.000Z</x:v>
      </x:c>
      <x:c r="D9" s="15" t="str">
        <x:v>09:00</x:v>
      </x:c>
      <x:c r="E9" s="17" t="n">
        <x:v>480</x:v>
      </x:c>
      <x:c r="F9" s="15" t="str">
        <x:v>已簽退</x:v>
      </x:c>
      <x:c r="G9" s="15" t="str">
        <x:v>SITE-B</x:v>
      </x:c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</x:row>
    <x:row r="10">
      <x:c r="A10" s="1" t="str">
        <x:v>DEMO-0073</x:v>
      </x:c>
      <x:c r="B10" s="1" t="str">
        <x:v>E05</x:v>
      </x:c>
      <x:c r="C10" s="13" t="d">
        <x:v>2025-05-01T00:00:00.000Z</x:v>
      </x:c>
      <x:c r="D10" s="1" t="str">
        <x:v>09:00</x:v>
      </x:c>
      <x:c r="E10" s="14" t="n">
        <x:v>540</x:v>
      </x:c>
      <x:c r="F10" s="1" t="str">
        <x:v>已簽退</x:v>
      </x:c>
      <x:c r="G10" s="1" t="str">
        <x:v>SITE-C</x:v>
      </x:c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</x:row>
    <x:row r="11">
      <x:c r="A11" s="15" t="str">
        <x:v>DEMO-0042</x:v>
      </x:c>
      <x:c r="B11" s="15" t="str">
        <x:v>E03</x:v>
      </x:c>
      <x:c r="C11" s="16" t="d">
        <x:v>2025-05-01T00:00:00.000Z</x:v>
      </x:c>
      <x:c r="D11" s="15" t="str">
        <x:v>11:35</x:v>
      </x:c>
      <x:c r="E11" s="17" t="n">
        <x:v>140</x:v>
      </x:c>
      <x:c r="F11" s="15" t="str">
        <x:v>已簽退</x:v>
      </x:c>
      <x:c r="G11" s="15" t="str">
        <x:v>SITE-B</x:v>
      </x:c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</x:row>
    <x:row r="12">
      <x:c r="A12" s="1" t="str">
        <x:v>DEMO-0002</x:v>
      </x:c>
      <x:c r="B12" s="1" t="str">
        <x:v>E01</x:v>
      </x:c>
      <x:c r="C12" s="13" t="d">
        <x:v>2025-05-01T00:00:00.000Z</x:v>
      </x:c>
      <x:c r="D12" s="1" t="str">
        <x:v>11:45</x:v>
      </x:c>
      <x:c r="E12" s="14" t="n">
        <x:v>150</x:v>
      </x:c>
      <x:c r="F12" s="1" t="str">
        <x:v>已簽退</x:v>
      </x:c>
      <x:c r="G12" s="1" t="str">
        <x:v>SITE-B</x:v>
      </x:c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</x:row>
    <x:row r="13">
      <x:c r="A13" s="15" t="str">
        <x:v>DEMO-0043</x:v>
      </x:c>
      <x:c r="B13" s="15" t="str">
        <x:v>E03</x:v>
      </x:c>
      <x:c r="C13" s="16" t="d">
        <x:v>2025-05-01T00:00:00.000Z</x:v>
      </x:c>
      <x:c r="D13" s="15" t="str">
        <x:v>14:10</x:v>
      </x:c>
      <x:c r="E13" s="17" t="n">
        <x:v>140</x:v>
      </x:c>
      <x:c r="F13" s="15" t="str">
        <x:v>已簽退</x:v>
      </x:c>
      <x:c r="G13" s="15" t="str">
        <x:v>SITE-A</x:v>
      </x:c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</x:row>
    <x:row r="14">
      <x:c r="A14" s="1" t="str">
        <x:v>DEMO-0003</x:v>
      </x:c>
      <x:c r="B14" s="1" t="str">
        <x:v>E01</x:v>
      </x:c>
      <x:c r="C14" s="13" t="d">
        <x:v>2025-05-02T00:00:00.000Z</x:v>
      </x:c>
      <x:c r="D14" s="1" t="str">
        <x:v>09:00</x:v>
      </x:c>
      <x:c r="E14" s="14" t="n">
        <x:v>300</x:v>
      </x:c>
      <x:c r="F14" s="1" t="str">
        <x:v>已簽退</x:v>
      </x:c>
      <x:c r="G14" s="1" t="str">
        <x:v>SITE-A</x:v>
      </x:c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</x:row>
    <x:row r="15">
      <x:c r="A15" s="15" t="str">
        <x:v>DEMO-0023</x:v>
      </x:c>
      <x:c r="B15" s="15" t="str">
        <x:v>E02</x:v>
      </x:c>
      <x:c r="C15" s="16" t="d">
        <x:v>2025-05-02T00:00:00.000Z</x:v>
      </x:c>
      <x:c r="D15" s="15" t="str">
        <x:v>09:00</x:v>
      </x:c>
      <x:c r="E15" s="17" t="n">
        <x:v>300</x:v>
      </x:c>
      <x:c r="F15" s="15" t="str">
        <x:v>已簽退</x:v>
      </x:c>
      <x:c r="G15" s="15" t="str">
        <x:v>SITE-B</x:v>
      </x:c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</x:row>
    <x:row r="16">
      <x:c r="A16" s="1" t="str">
        <x:v>DEMO-0044</x:v>
      </x:c>
      <x:c r="B16" s="1" t="str">
        <x:v>E03</x:v>
      </x:c>
      <x:c r="C16" s="13" t="d">
        <x:v>2025-05-02T00:00:00.000Z</x:v>
      </x:c>
      <x:c r="D16" s="1" t="str">
        <x:v>09:00</x:v>
      </x:c>
      <x:c r="E16" s="14" t="n">
        <x:v>420</x:v>
      </x:c>
      <x:c r="F16" s="1" t="str">
        <x:v>已簽退</x:v>
      </x:c>
      <x:c r="G16" s="1" t="str">
        <x:v>SITE-C</x:v>
      </x:c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</x:row>
    <x:row r="17">
      <x:c r="A17" s="15" t="str">
        <x:v>DEMO-0061</x:v>
      </x:c>
      <x:c r="B17" s="15" t="str">
        <x:v>E04</x:v>
      </x:c>
      <x:c r="C17" s="16" t="d">
        <x:v>2025-05-02T00:00:00.000Z</x:v>
      </x:c>
      <x:c r="D17" s="15" t="str">
        <x:v>09:00</x:v>
      </x:c>
      <x:c r="E17" s="17" t="n">
        <x:v>480</x:v>
      </x:c>
      <x:c r="F17" s="15" t="str">
        <x:v>已簽退</x:v>
      </x:c>
      <x:c r="G17" s="15" t="str">
        <x:v>SITE-B</x:v>
      </x:c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</x:row>
    <x:row r="18">
      <x:c r="A18" s="1" t="str">
        <x:v>DEMO-0074</x:v>
      </x:c>
      <x:c r="B18" s="1" t="str">
        <x:v>E05</x:v>
      </x:c>
      <x:c r="C18" s="13" t="d">
        <x:v>2025-05-02T00:00:00.000Z</x:v>
      </x:c>
      <x:c r="D18" s="1" t="str">
        <x:v>09:00</x:v>
      </x:c>
      <x:c r="E18" s="14" t="n">
        <x:v>540</x:v>
      </x:c>
      <x:c r="F18" s="1" t="str">
        <x:v>已簽退</x:v>
      </x:c>
      <x:c r="G18" s="1" t="str">
        <x:v>SITE-C</x:v>
      </x:c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</x:row>
    <x:row r="19">
      <x:c r="A19" s="15" t="str">
        <x:v>DEMO-0062</x:v>
      </x:c>
      <x:c r="B19" s="15" t="str">
        <x:v>E04</x:v>
      </x:c>
      <x:c r="C19" s="16" t="d">
        <x:v>2025-05-03T00:00:00.000Z</x:v>
      </x:c>
      <x:c r="D19" s="15" t="str">
        <x:v>09:00</x:v>
      </x:c>
      <x:c r="E19" s="17" t="n">
        <x:v>480</x:v>
      </x:c>
      <x:c r="F19" s="15" t="str">
        <x:v>已簽退</x:v>
      </x:c>
      <x:c r="G19" s="15" t="str">
        <x:v>SITE-B</x:v>
      </x:c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</x:row>
    <x:row r="20">
      <x:c r="A20" s="1" t="str">
        <x:v>DEMO-0063</x:v>
      </x:c>
      <x:c r="B20" s="1" t="str">
        <x:v>E04</x:v>
      </x:c>
      <x:c r="C20" s="13" t="d">
        <x:v>2025-05-04T00:00:00.000Z</x:v>
      </x:c>
      <x:c r="D20" s="1" t="str">
        <x:v>09:00</x:v>
      </x:c>
      <x:c r="E20" s="14" t="n">
        <x:v>480</x:v>
      </x:c>
      <x:c r="F20" s="1" t="str">
        <x:v>已簽退</x:v>
      </x:c>
      <x:c r="G20" s="1" t="str">
        <x:v>SITE-B</x:v>
      </x:c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</x:row>
    <x:row r="21">
      <x:c r="A21" s="15" t="str">
        <x:v>DEMO-0004</x:v>
      </x:c>
      <x:c r="B21" s="15" t="str">
        <x:v>E01</x:v>
      </x:c>
      <x:c r="C21" s="16" t="d">
        <x:v>2025-05-05T00:00:00.000Z</x:v>
      </x:c>
      <x:c r="D21" s="15" t="str">
        <x:v>09:00</x:v>
      </x:c>
      <x:c r="E21" s="17" t="n">
        <x:v>300</x:v>
      </x:c>
      <x:c r="F21" s="15" t="str">
        <x:v>已簽退</x:v>
      </x:c>
      <x:c r="G21" s="15" t="str">
        <x:v>SITE-A</x:v>
      </x:c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</x:row>
    <x:row r="22">
      <x:c r="A22" s="1" t="str">
        <x:v>DEMO-0024</x:v>
      </x:c>
      <x:c r="B22" s="1" t="str">
        <x:v>E02</x:v>
      </x:c>
      <x:c r="C22" s="13" t="d">
        <x:v>2025-05-05T00:00:00.000Z</x:v>
      </x:c>
      <x:c r="D22" s="1" t="str">
        <x:v>09:00</x:v>
      </x:c>
      <x:c r="E22" s="14" t="n">
        <x:v>300</x:v>
      </x:c>
      <x:c r="F22" s="1" t="str">
        <x:v>已簽退</x:v>
      </x:c>
      <x:c r="G22" s="1" t="str">
        <x:v>SITE-B</x:v>
      </x:c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</x:row>
    <x:row r="23">
      <x:c r="A23" s="15" t="str">
        <x:v>DEMO-0045</x:v>
      </x:c>
      <x:c r="B23" s="15" t="str">
        <x:v>E03</x:v>
      </x:c>
      <x:c r="C23" s="16" t="d">
        <x:v>2025-05-05T00:00:00.000Z</x:v>
      </x:c>
      <x:c r="D23" s="15" t="str">
        <x:v>09:00</x:v>
      </x:c>
      <x:c r="E23" s="17" t="n">
        <x:v>420</x:v>
      </x:c>
      <x:c r="F23" s="15" t="str">
        <x:v>已簽退</x:v>
      </x:c>
      <x:c r="G23" s="15" t="str">
        <x:v>SITE-C</x:v>
      </x:c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</x:row>
    <x:row r="24">
      <x:c r="A24" s="1" t="str">
        <x:v>DEMO-0064</x:v>
      </x:c>
      <x:c r="B24" s="1" t="str">
        <x:v>E04</x:v>
      </x:c>
      <x:c r="C24" s="13" t="d">
        <x:v>2025-05-05T00:00:00.000Z</x:v>
      </x:c>
      <x:c r="D24" s="1" t="str">
        <x:v>09:00</x:v>
      </x:c>
      <x:c r="E24" s="14" t="n">
        <x:v>480</x:v>
      </x:c>
      <x:c r="F24" s="1" t="str">
        <x:v>已簽退</x:v>
      </x:c>
      <x:c r="G24" s="1" t="str">
        <x:v>SITE-B</x:v>
      </x:c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</x:row>
    <x:row r="25">
      <x:c r="A25" s="15" t="str">
        <x:v>DEMO-0075</x:v>
      </x:c>
      <x:c r="B25" s="15" t="str">
        <x:v>E05</x:v>
      </x:c>
      <x:c r="C25" s="16" t="d">
        <x:v>2025-05-05T00:00:00.000Z</x:v>
      </x:c>
      <x:c r="D25" s="15" t="str">
        <x:v>09:00</x:v>
      </x:c>
      <x:c r="E25" s="17" t="n">
        <x:v>540</x:v>
      </x:c>
      <x:c r="F25" s="15" t="str">
        <x:v>已簽退</x:v>
      </x:c>
      <x:c r="G25" s="15" t="str">
        <x:v>SITE-C</x:v>
      </x:c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</x:row>
    <x:row r="26">
      <x:c r="A26" s="1" t="str">
        <x:v>DEMO-0005</x:v>
      </x:c>
      <x:c r="B26" s="1" t="str">
        <x:v>E01</x:v>
      </x:c>
      <x:c r="C26" s="13" t="d">
        <x:v>2025-05-06T00:00:00.000Z</x:v>
      </x:c>
      <x:c r="D26" s="1" t="str">
        <x:v>09:00</x:v>
      </x:c>
      <x:c r="E26" s="14" t="n">
        <x:v>300</x:v>
      </x:c>
      <x:c r="F26" s="1" t="str">
        <x:v>已簽退</x:v>
      </x:c>
      <x:c r="G26" s="1" t="str">
        <x:v>SITE-A</x:v>
      </x:c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</x:row>
    <x:row r="27">
      <x:c r="A27" s="15" t="str">
        <x:v>DEMO-0025</x:v>
      </x:c>
      <x:c r="B27" s="15" t="str">
        <x:v>E02</x:v>
      </x:c>
      <x:c r="C27" s="16" t="d">
        <x:v>2025-05-06T00:00:00.000Z</x:v>
      </x:c>
      <x:c r="D27" s="15" t="str">
        <x:v>09:00</x:v>
      </x:c>
      <x:c r="E27" s="17" t="n">
        <x:v>300</x:v>
      </x:c>
      <x:c r="F27" s="15" t="str">
        <x:v>已簽退</x:v>
      </x:c>
      <x:c r="G27" s="15" t="str">
        <x:v>SITE-B</x:v>
      </x:c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</x:row>
    <x:row r="28">
      <x:c r="A28" s="1" t="str">
        <x:v>DEMO-0046</x:v>
      </x:c>
      <x:c r="B28" s="1" t="str">
        <x:v>E03</x:v>
      </x:c>
      <x:c r="C28" s="13" t="d">
        <x:v>2025-05-06T00:00:00.000Z</x:v>
      </x:c>
      <x:c r="D28" s="1" t="str">
        <x:v>09:00</x:v>
      </x:c>
      <x:c r="E28" s="14" t="n">
        <x:v>420</x:v>
      </x:c>
      <x:c r="F28" s="1" t="str">
        <x:v>已簽退</x:v>
      </x:c>
      <x:c r="G28" s="1" t="str">
        <x:v>SITE-C</x:v>
      </x:c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</x:row>
    <x:row r="29">
      <x:c r="A29" s="15" t="str">
        <x:v>DEMO-0065</x:v>
      </x:c>
      <x:c r="B29" s="15" t="str">
        <x:v>E04</x:v>
      </x:c>
      <x:c r="C29" s="16" t="d">
        <x:v>2025-05-06T00:00:00.000Z</x:v>
      </x:c>
      <x:c r="D29" s="15" t="str">
        <x:v>09:00</x:v>
      </x:c>
      <x:c r="E29" s="17" t="n">
        <x:v>480</x:v>
      </x:c>
      <x:c r="F29" s="15" t="str">
        <x:v>已簽退</x:v>
      </x:c>
      <x:c r="G29" s="15" t="str">
        <x:v>SITE-B</x:v>
      </x:c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</x:row>
    <x:row r="30">
      <x:c r="A30" s="1" t="str">
        <x:v>DEMO-0076</x:v>
      </x:c>
      <x:c r="B30" s="1" t="str">
        <x:v>E05</x:v>
      </x:c>
      <x:c r="C30" s="13" t="d">
        <x:v>2025-05-06T00:00:00.000Z</x:v>
      </x:c>
      <x:c r="D30" s="1" t="str">
        <x:v>09:00</x:v>
      </x:c>
      <x:c r="E30" s="14" t="n">
        <x:v>540</x:v>
      </x:c>
      <x:c r="F30" s="1" t="str">
        <x:v>已簽退</x:v>
      </x:c>
      <x:c r="G30" s="1" t="str">
        <x:v>SITE-C</x:v>
      </x:c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</x:row>
    <x:row r="31">
      <x:c r="A31" s="15" t="str">
        <x:v>DEMO-0006</x:v>
      </x:c>
      <x:c r="B31" s="15" t="str">
        <x:v>E01</x:v>
      </x:c>
      <x:c r="C31" s="16" t="d">
        <x:v>2025-05-07T00:00:00.000Z</x:v>
      </x:c>
      <x:c r="D31" s="15" t="str">
        <x:v>09:00</x:v>
      </x:c>
      <x:c r="E31" s="17" t="n">
        <x:v>300</x:v>
      </x:c>
      <x:c r="F31" s="15" t="str">
        <x:v>已簽退</x:v>
      </x:c>
      <x:c r="G31" s="15" t="str">
        <x:v>SITE-A</x:v>
      </x:c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</x:row>
    <x:row r="32">
      <x:c r="A32" s="1" t="str">
        <x:v>DEMO-0026</x:v>
      </x:c>
      <x:c r="B32" s="1" t="str">
        <x:v>E02</x:v>
      </x:c>
      <x:c r="C32" s="13" t="d">
        <x:v>2025-05-07T00:00:00.000Z</x:v>
      </x:c>
      <x:c r="D32" s="1" t="str">
        <x:v>09:00</x:v>
      </x:c>
      <x:c r="E32" s="14" t="n">
        <x:v>300</x:v>
      </x:c>
      <x:c r="F32" s="1" t="str">
        <x:v>已簽退</x:v>
      </x:c>
      <x:c r="G32" s="1" t="str">
        <x:v>SITE-B</x:v>
      </x:c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</x:row>
    <x:row r="33">
      <x:c r="A33" s="15" t="str">
        <x:v>DEMO-0047</x:v>
      </x:c>
      <x:c r="B33" s="15" t="str">
        <x:v>E03</x:v>
      </x:c>
      <x:c r="C33" s="16" t="d">
        <x:v>2025-05-07T00:00:00.000Z</x:v>
      </x:c>
      <x:c r="D33" s="15" t="str">
        <x:v>09:00</x:v>
      </x:c>
      <x:c r="E33" s="17" t="n">
        <x:v>420</x:v>
      </x:c>
      <x:c r="F33" s="15" t="str">
        <x:v>已簽退</x:v>
      </x:c>
      <x:c r="G33" s="15" t="str">
        <x:v>SITE-C</x:v>
      </x:c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</x:row>
    <x:row r="34">
      <x:c r="A34" s="1" t="str">
        <x:v>DEMO-0066</x:v>
      </x:c>
      <x:c r="B34" s="1" t="str">
        <x:v>E04</x:v>
      </x:c>
      <x:c r="C34" s="13" t="d">
        <x:v>2025-05-07T00:00:00.000Z</x:v>
      </x:c>
      <x:c r="D34" s="1" t="str">
        <x:v>09:00</x:v>
      </x:c>
      <x:c r="E34" s="14" t="n">
        <x:v>480</x:v>
      </x:c>
      <x:c r="F34" s="1" t="str">
        <x:v>已簽退</x:v>
      </x:c>
      <x:c r="G34" s="1" t="str">
        <x:v>SITE-B</x:v>
      </x:c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</x:row>
    <x:row r="35">
      <x:c r="A35" s="15" t="str">
        <x:v>DEMO-0077</x:v>
      </x:c>
      <x:c r="B35" s="15" t="str">
        <x:v>E05</x:v>
      </x:c>
      <x:c r="C35" s="16" t="d">
        <x:v>2025-05-07T00:00:00.000Z</x:v>
      </x:c>
      <x:c r="D35" s="15" t="str">
        <x:v>09:00</x:v>
      </x:c>
      <x:c r="E35" s="17" t="n">
        <x:v>540</x:v>
      </x:c>
      <x:c r="F35" s="15" t="str">
        <x:v>已簽退</x:v>
      </x:c>
      <x:c r="G35" s="15" t="str">
        <x:v>SITE-C</x:v>
      </x:c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</x:row>
    <x:row r="36">
      <x:c r="A36" s="1" t="str">
        <x:v>DEMO-0007</x:v>
      </x:c>
      <x:c r="B36" s="1" t="str">
        <x:v>E01</x:v>
      </x:c>
      <x:c r="C36" s="13" t="d">
        <x:v>2025-05-08T00:00:00.000Z</x:v>
      </x:c>
      <x:c r="D36" s="1" t="str">
        <x:v>09:00</x:v>
      </x:c>
      <x:c r="E36" s="14" t="n">
        <x:v>300</x:v>
      </x:c>
      <x:c r="F36" s="1" t="str">
        <x:v>已簽退</x:v>
      </x:c>
      <x:c r="G36" s="1" t="str">
        <x:v>SITE-A</x:v>
      </x:c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</x:row>
    <x:row r="37">
      <x:c r="A37" s="15" t="str">
        <x:v>DEMO-0027</x:v>
      </x:c>
      <x:c r="B37" s="15" t="str">
        <x:v>E02</x:v>
      </x:c>
      <x:c r="C37" s="16" t="d">
        <x:v>2025-05-08T00:00:00.000Z</x:v>
      </x:c>
      <x:c r="D37" s="15" t="str">
        <x:v>09:00</x:v>
      </x:c>
      <x:c r="E37" s="17" t="n">
        <x:v>300</x:v>
      </x:c>
      <x:c r="F37" s="15" t="str">
        <x:v>已簽退</x:v>
      </x:c>
      <x:c r="G37" s="15" t="str">
        <x:v>SITE-B</x:v>
      </x:c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</x:row>
    <x:row r="38">
      <x:c r="A38" s="1" t="str">
        <x:v>DEMO-0048</x:v>
      </x:c>
      <x:c r="B38" s="1" t="str">
        <x:v>E03</x:v>
      </x:c>
      <x:c r="C38" s="13" t="d">
        <x:v>2025-05-08T00:00:00.000Z</x:v>
      </x:c>
      <x:c r="D38" s="1" t="str">
        <x:v>09:00</x:v>
      </x:c>
      <x:c r="E38" s="14" t="n">
        <x:v>420</x:v>
      </x:c>
      <x:c r="F38" s="1" t="str">
        <x:v>已簽退</x:v>
      </x:c>
      <x:c r="G38" s="1" t="str">
        <x:v>SITE-C</x:v>
      </x:c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</x:row>
    <x:row r="39">
      <x:c r="A39" s="15" t="str">
        <x:v>DEMO-0067</x:v>
      </x:c>
      <x:c r="B39" s="15" t="str">
        <x:v>E04</x:v>
      </x:c>
      <x:c r="C39" s="16" t="d">
        <x:v>2025-05-08T00:00:00.000Z</x:v>
      </x:c>
      <x:c r="D39" s="15" t="str">
        <x:v>09:00</x:v>
      </x:c>
      <x:c r="E39" s="17" t="n">
        <x:v>480</x:v>
      </x:c>
      <x:c r="F39" s="15" t="str">
        <x:v>已簽退</x:v>
      </x:c>
      <x:c r="G39" s="15" t="str">
        <x:v>SITE-B</x:v>
      </x:c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</x:row>
    <x:row r="40">
      <x:c r="A40" s="1" t="str">
        <x:v>DEMO-0078</x:v>
      </x:c>
      <x:c r="B40" s="1" t="str">
        <x:v>E05</x:v>
      </x:c>
      <x:c r="C40" s="13" t="d">
        <x:v>2025-05-08T00:00:00.000Z</x:v>
      </x:c>
      <x:c r="D40" s="1" t="str">
        <x:v>09:00</x:v>
      </x:c>
      <x:c r="E40" s="14" t="n">
        <x:v>540</x:v>
      </x:c>
      <x:c r="F40" s="1" t="str">
        <x:v>已簽退</x:v>
      </x:c>
      <x:c r="G40" s="1" t="str">
        <x:v>SITE-C</x:v>
      </x:c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</x:row>
    <x:row r="41">
      <x:c r="A41" s="15" t="str">
        <x:v>DEMO-0008</x:v>
      </x:c>
      <x:c r="B41" s="15" t="str">
        <x:v>E01</x:v>
      </x:c>
      <x:c r="C41" s="16" t="d">
        <x:v>2025-05-09T00:00:00.000Z</x:v>
      </x:c>
      <x:c r="D41" s="15" t="str">
        <x:v>09:00</x:v>
      </x:c>
      <x:c r="E41" s="17" t="n">
        <x:v>300</x:v>
      </x:c>
      <x:c r="F41" s="15" t="str">
        <x:v>已簽退</x:v>
      </x:c>
      <x:c r="G41" s="15" t="str">
        <x:v>SITE-A</x:v>
      </x:c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</x:row>
    <x:row r="42">
      <x:c r="A42" s="1" t="str">
        <x:v>DEMO-0028</x:v>
      </x:c>
      <x:c r="B42" s="1" t="str">
        <x:v>E02</x:v>
      </x:c>
      <x:c r="C42" s="13" t="d">
        <x:v>2025-05-09T00:00:00.000Z</x:v>
      </x:c>
      <x:c r="D42" s="1" t="str">
        <x:v>09:00</x:v>
      </x:c>
      <x:c r="E42" s="14" t="n">
        <x:v>300</x:v>
      </x:c>
      <x:c r="F42" s="1" t="str">
        <x:v>已簽退</x:v>
      </x:c>
      <x:c r="G42" s="1" t="str">
        <x:v>SITE-B</x:v>
      </x:c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</x:row>
    <x:row r="43">
      <x:c r="A43" s="15" t="str">
        <x:v>DEMO-0049</x:v>
      </x:c>
      <x:c r="B43" s="15" t="str">
        <x:v>E03</x:v>
      </x:c>
      <x:c r="C43" s="16" t="d">
        <x:v>2025-05-09T00:00:00.000Z</x:v>
      </x:c>
      <x:c r="D43" s="15" t="str">
        <x:v>09:00</x:v>
      </x:c>
      <x:c r="E43" s="17" t="n">
        <x:v>420</x:v>
      </x:c>
      <x:c r="F43" s="15" t="str">
        <x:v>已簽退</x:v>
      </x:c>
      <x:c r="G43" s="15" t="str">
        <x:v>SITE-C</x:v>
      </x:c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</x:row>
    <x:row r="44">
      <x:c r="A44" s="1" t="str">
        <x:v>DEMO-0068</x:v>
      </x:c>
      <x:c r="B44" s="1" t="str">
        <x:v>E04</x:v>
      </x:c>
      <x:c r="C44" s="13" t="d">
        <x:v>2025-05-09T00:00:00.000Z</x:v>
      </x:c>
      <x:c r="D44" s="1" t="str">
        <x:v>09:00</x:v>
      </x:c>
      <x:c r="E44" s="14" t="n">
        <x:v>480</x:v>
      </x:c>
      <x:c r="F44" s="1" t="str">
        <x:v>已簽退</x:v>
      </x:c>
      <x:c r="G44" s="1" t="str">
        <x:v>SITE-B</x:v>
      </x:c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</x:row>
    <x:row r="45">
      <x:c r="A45" s="15" t="str">
        <x:v>DEMO-0079</x:v>
      </x:c>
      <x:c r="B45" s="15" t="str">
        <x:v>E05</x:v>
      </x:c>
      <x:c r="C45" s="16" t="d">
        <x:v>2025-05-09T00:00:00.000Z</x:v>
      </x:c>
      <x:c r="D45" s="15" t="str">
        <x:v>09:00</x:v>
      </x:c>
      <x:c r="E45" s="17" t="n">
        <x:v>540</x:v>
      </x:c>
      <x:c r="F45" s="15" t="str">
        <x:v>已簽退</x:v>
      </x:c>
      <x:c r="G45" s="15" t="str">
        <x:v>SITE-C</x:v>
      </x:c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</x:row>
    <x:row r="46">
      <x:c r="A46" s="1" t="str">
        <x:v>DEMO-0069</x:v>
      </x:c>
      <x:c r="B46" s="1" t="str">
        <x:v>E04</x:v>
      </x:c>
      <x:c r="C46" s="13" t="d">
        <x:v>2025-05-10T00:00:00.000Z</x:v>
      </x:c>
      <x:c r="D46" s="1" t="str">
        <x:v>09:00</x:v>
      </x:c>
      <x:c r="E46" s="14" t="n">
        <x:v>480</x:v>
      </x:c>
      <x:c r="F46" s="1" t="str">
        <x:v>已簽退</x:v>
      </x:c>
      <x:c r="G46" s="1" t="str">
        <x:v>SITE-B</x:v>
      </x:c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</x:row>
    <x:row r="47">
      <x:c r="A47" s="15" t="str">
        <x:v>DEMO-0083</x:v>
      </x:c>
      <x:c r="B47" s="15" t="str">
        <x:v>E05</x:v>
      </x:c>
      <x:c r="C47" s="16" t="d">
        <x:v>2025-05-10T00:00:00.000Z</x:v>
      </x:c>
      <x:c r="D47" s="15" t="str">
        <x:v>09:00</x:v>
      </x:c>
      <x:c r="E47" s="17" t="n">
        <x:v>360</x:v>
      </x:c>
      <x:c r="F47" s="15" t="str">
        <x:v>已簽退</x:v>
      </x:c>
      <x:c r="G47" s="15" t="str">
        <x:v>SITE-C</x:v>
      </x:c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</x:row>
    <x:row r="48">
      <x:c r="A48" s="1" t="str">
        <x:v>DEMO-0070</x:v>
      </x:c>
      <x:c r="B48" s="1" t="str">
        <x:v>E04</x:v>
      </x:c>
      <x:c r="C48" s="13" t="d">
        <x:v>2025-05-11T00:00:00.000Z</x:v>
      </x:c>
      <x:c r="D48" s="1" t="str">
        <x:v>09:00</x:v>
      </x:c>
      <x:c r="E48" s="14" t="n">
        <x:v>480</x:v>
      </x:c>
      <x:c r="F48" s="1" t="str">
        <x:v>已簽退</x:v>
      </x:c>
      <x:c r="G48" s="1" t="str">
        <x:v>SITE-B</x:v>
      </x:c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</x:row>
    <x:row r="49">
      <x:c r="A49" s="15" t="str">
        <x:v>DEMO-0009</x:v>
      </x:c>
      <x:c r="B49" s="15" t="str">
        <x:v>E01</x:v>
      </x:c>
      <x:c r="C49" s="16" t="d">
        <x:v>2025-05-12T00:00:00.000Z</x:v>
      </x:c>
      <x:c r="D49" s="15" t="str">
        <x:v>09:00</x:v>
      </x:c>
      <x:c r="E49" s="17" t="n">
        <x:v>300</x:v>
      </x:c>
      <x:c r="F49" s="15" t="str">
        <x:v>已簽退</x:v>
      </x:c>
      <x:c r="G49" s="15" t="str">
        <x:v>SITE-A</x:v>
      </x:c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</x:row>
    <x:row r="50">
      <x:c r="A50" s="1" t="str">
        <x:v>DEMO-0029</x:v>
      </x:c>
      <x:c r="B50" s="1" t="str">
        <x:v>E02</x:v>
      </x:c>
      <x:c r="C50" s="13" t="d">
        <x:v>2025-05-12T00:00:00.000Z</x:v>
      </x:c>
      <x:c r="D50" s="1" t="str">
        <x:v>09:00</x:v>
      </x:c>
      <x:c r="E50" s="14" t="n">
        <x:v>300</x:v>
      </x:c>
      <x:c r="F50" s="1" t="str">
        <x:v>已簽退</x:v>
      </x:c>
      <x:c r="G50" s="1" t="str">
        <x:v>SITE-B</x:v>
      </x:c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</x:row>
    <x:row r="51">
      <x:c r="A51" s="15" t="str">
        <x:v>DEMO-0050</x:v>
      </x:c>
      <x:c r="B51" s="15" t="str">
        <x:v>E03</x:v>
      </x:c>
      <x:c r="C51" s="16" t="d">
        <x:v>2025-05-12T00:00:00.000Z</x:v>
      </x:c>
      <x:c r="D51" s="15" t="str">
        <x:v>09:00</x:v>
      </x:c>
      <x:c r="E51" s="17" t="n">
        <x:v>420</x:v>
      </x:c>
      <x:c r="F51" s="15" t="str">
        <x:v>已簽退</x:v>
      </x:c>
      <x:c r="G51" s="15" t="str">
        <x:v>SITE-C</x:v>
      </x:c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</x:row>
    <x:row r="52">
      <x:c r="A52" s="1" t="str">
        <x:v>DEMO-0071</x:v>
      </x:c>
      <x:c r="B52" s="1" t="str">
        <x:v>E04</x:v>
      </x:c>
      <x:c r="C52" s="13" t="d">
        <x:v>2025-05-12T00:00:00.000Z</x:v>
      </x:c>
      <x:c r="D52" s="1" t="str">
        <x:v>09:00</x:v>
      </x:c>
      <x:c r="E52" s="14" t="n">
        <x:v>480</x:v>
      </x:c>
      <x:c r="F52" s="1" t="str">
        <x:v>已簽退</x:v>
      </x:c>
      <x:c r="G52" s="1" t="str">
        <x:v>SITE-B</x:v>
      </x:c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</x:row>
    <x:row r="53">
      <x:c r="A53" s="15" t="str">
        <x:v>DEMO-0080</x:v>
      </x:c>
      <x:c r="B53" s="15" t="str">
        <x:v>E05</x:v>
      </x:c>
      <x:c r="C53" s="16" t="d">
        <x:v>2025-05-12T00:00:00.000Z</x:v>
      </x:c>
      <x:c r="D53" s="15" t="str">
        <x:v>09:00</x:v>
      </x:c>
      <x:c r="E53" s="17" t="n">
        <x:v>540</x:v>
      </x:c>
      <x:c r="F53" s="15" t="str">
        <x:v>已簽退</x:v>
      </x:c>
      <x:c r="G53" s="15" t="str">
        <x:v>SITE-C</x:v>
      </x:c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</x:row>
    <x:row r="54">
      <x:c r="A54" s="1" t="str">
        <x:v>DEMO-0010</x:v>
      </x:c>
      <x:c r="B54" s="1" t="str">
        <x:v>E01</x:v>
      </x:c>
      <x:c r="C54" s="13" t="d">
        <x:v>2025-05-13T00:00:00.000Z</x:v>
      </x:c>
      <x:c r="D54" s="1" t="str">
        <x:v>09:00</x:v>
      </x:c>
      <x:c r="E54" s="14" t="n">
        <x:v>300</x:v>
      </x:c>
      <x:c r="F54" s="1" t="str">
        <x:v>已簽退</x:v>
      </x:c>
      <x:c r="G54" s="1" t="str">
        <x:v>SITE-A</x:v>
      </x:c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</x:row>
    <x:row r="55">
      <x:c r="A55" s="15" t="str">
        <x:v>DEMO-0030</x:v>
      </x:c>
      <x:c r="B55" s="15" t="str">
        <x:v>E02</x:v>
      </x:c>
      <x:c r="C55" s="16" t="d">
        <x:v>2025-05-13T00:00:00.000Z</x:v>
      </x:c>
      <x:c r="D55" s="15" t="str">
        <x:v>09:00</x:v>
      </x:c>
      <x:c r="E55" s="17" t="n">
        <x:v>300</x:v>
      </x:c>
      <x:c r="F55" s="15" t="str">
        <x:v>已簽退</x:v>
      </x:c>
      <x:c r="G55" s="15" t="str">
        <x:v>SITE-B</x:v>
      </x:c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</x:row>
    <x:row r="56">
      <x:c r="A56" s="1" t="str">
        <x:v>DEMO-0051</x:v>
      </x:c>
      <x:c r="B56" s="1" t="str">
        <x:v>E03</x:v>
      </x:c>
      <x:c r="C56" s="13" t="d">
        <x:v>2025-05-13T00:00:00.000Z</x:v>
      </x:c>
      <x:c r="D56" s="1" t="str">
        <x:v>09:00</x:v>
      </x:c>
      <x:c r="E56" s="14" t="n">
        <x:v>420</x:v>
      </x:c>
      <x:c r="F56" s="1" t="str">
        <x:v>已簽退</x:v>
      </x:c>
      <x:c r="G56" s="1" t="str">
        <x:v>SITE-C</x:v>
      </x:c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</x:row>
    <x:row r="57">
      <x:c r="A57" s="15" t="str">
        <x:v>DEMO-0081</x:v>
      </x:c>
      <x:c r="B57" s="15" t="str">
        <x:v>E05</x:v>
      </x:c>
      <x:c r="C57" s="16" t="d">
        <x:v>2025-05-13T00:00:00.000Z</x:v>
      </x:c>
      <x:c r="D57" s="15" t="str">
        <x:v>09:00</x:v>
      </x:c>
      <x:c r="E57" s="17" t="n">
        <x:v>540</x:v>
      </x:c>
      <x:c r="F57" s="15" t="str">
        <x:v>已簽退</x:v>
      </x:c>
      <x:c r="G57" s="15" t="str">
        <x:v>SITE-C</x:v>
      </x:c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</x:row>
    <x:row r="58">
      <x:c r="A58" s="1" t="str">
        <x:v>DEMO-0011</x:v>
      </x:c>
      <x:c r="B58" s="1" t="str">
        <x:v>E01</x:v>
      </x:c>
      <x:c r="C58" s="13" t="d">
        <x:v>2025-05-14T00:00:00.000Z</x:v>
      </x:c>
      <x:c r="D58" s="1" t="str">
        <x:v>09:00</x:v>
      </x:c>
      <x:c r="E58" s="14" t="n">
        <x:v>300</x:v>
      </x:c>
      <x:c r="F58" s="1" t="str">
        <x:v>已簽退</x:v>
      </x:c>
      <x:c r="G58" s="1" t="str">
        <x:v>SITE-A</x:v>
      </x:c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</x:row>
    <x:row r="59">
      <x:c r="A59" s="15" t="str">
        <x:v>DEMO-0031</x:v>
      </x:c>
      <x:c r="B59" s="15" t="str">
        <x:v>E02</x:v>
      </x:c>
      <x:c r="C59" s="16" t="d">
        <x:v>2025-05-14T00:00:00.000Z</x:v>
      </x:c>
      <x:c r="D59" s="15" t="str">
        <x:v>09:00</x:v>
      </x:c>
      <x:c r="E59" s="17" t="n">
        <x:v>300</x:v>
      </x:c>
      <x:c r="F59" s="15" t="str">
        <x:v>已簽退</x:v>
      </x:c>
      <x:c r="G59" s="15" t="str">
        <x:v>SITE-B</x:v>
      </x:c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</x:row>
    <x:row r="60">
      <x:c r="A60" s="1" t="str">
        <x:v>DEMO-0052</x:v>
      </x:c>
      <x:c r="B60" s="1" t="str">
        <x:v>E03</x:v>
      </x:c>
      <x:c r="C60" s="13" t="d">
        <x:v>2025-05-14T00:00:00.000Z</x:v>
      </x:c>
      <x:c r="D60" s="1" t="str">
        <x:v>09:00</x:v>
      </x:c>
      <x:c r="E60" s="14" t="n">
        <x:v>420</x:v>
      </x:c>
      <x:c r="F60" s="1" t="str">
        <x:v>已簽退</x:v>
      </x:c>
      <x:c r="G60" s="1" t="str">
        <x:v>SITE-C</x:v>
      </x:c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</x:row>
    <x:row r="61">
      <x:c r="A61" s="15" t="str">
        <x:v>DEMO-0072</x:v>
      </x:c>
      <x:c r="B61" s="15" t="str">
        <x:v>E04</x:v>
      </x:c>
      <x:c r="C61" s="16" t="d">
        <x:v>2025-05-14T00:00:00.000Z</x:v>
      </x:c>
      <x:c r="D61" s="15" t="str">
        <x:v>09:00</x:v>
      </x:c>
      <x:c r="E61" s="17" t="n">
        <x:v>240</x:v>
      </x:c>
      <x:c r="F61" s="15" t="str">
        <x:v>已簽退</x:v>
      </x:c>
      <x:c r="G61" s="15" t="str">
        <x:v>SITE-B</x:v>
      </x:c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</x:row>
    <x:row r="62">
      <x:c r="A62" s="1" t="str">
        <x:v>DEMO-0082</x:v>
      </x:c>
      <x:c r="B62" s="1" t="str">
        <x:v>E05</x:v>
      </x:c>
      <x:c r="C62" s="13" t="d">
        <x:v>2025-05-14T00:00:00.000Z</x:v>
      </x:c>
      <x:c r="D62" s="1" t="str">
        <x:v>09:00</x:v>
      </x:c>
      <x:c r="E62" s="14" t="n">
        <x:v>540</x:v>
      </x:c>
      <x:c r="F62" s="1" t="str">
        <x:v>已簽退</x:v>
      </x:c>
      <x:c r="G62" s="1" t="str">
        <x:v>SITE-C</x:v>
      </x:c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</x:row>
    <x:row r="63">
      <x:c r="A63" s="15" t="str">
        <x:v>DEMO-0012</x:v>
      </x:c>
      <x:c r="B63" s="15" t="str">
        <x:v>E01</x:v>
      </x:c>
      <x:c r="C63" s="16" t="d">
        <x:v>2025-05-15T00:00:00.000Z</x:v>
      </x:c>
      <x:c r="D63" s="15" t="str">
        <x:v>09:00</x:v>
      </x:c>
      <x:c r="E63" s="17" t="n">
        <x:v>300</x:v>
      </x:c>
      <x:c r="F63" s="15" t="str">
        <x:v>已簽退</x:v>
      </x:c>
      <x:c r="G63" s="15" t="str">
        <x:v>SITE-A</x:v>
      </x:c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</x:row>
    <x:row r="64">
      <x:c r="A64" s="1" t="str">
        <x:v>DEMO-0032</x:v>
      </x:c>
      <x:c r="B64" s="1" t="str">
        <x:v>E02</x:v>
      </x:c>
      <x:c r="C64" s="13" t="d">
        <x:v>2025-05-15T00:00:00.000Z</x:v>
      </x:c>
      <x:c r="D64" s="1" t="str">
        <x:v>09:00</x:v>
      </x:c>
      <x:c r="E64" s="14" t="n">
        <x:v>300</x:v>
      </x:c>
      <x:c r="F64" s="1" t="str">
        <x:v>已簽退</x:v>
      </x:c>
      <x:c r="G64" s="1" t="str">
        <x:v>SITE-B</x:v>
      </x:c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</x:row>
    <x:row r="65">
      <x:c r="A65" s="15" t="str">
        <x:v>DEMO-0053</x:v>
      </x:c>
      <x:c r="B65" s="15" t="str">
        <x:v>E03</x:v>
      </x:c>
      <x:c r="C65" s="16" t="d">
        <x:v>2025-05-15T00:00:00.000Z</x:v>
      </x:c>
      <x:c r="D65" s="15" t="str">
        <x:v>09:00</x:v>
      </x:c>
      <x:c r="E65" s="17" t="n">
        <x:v>420</x:v>
      </x:c>
      <x:c r="F65" s="15" t="str">
        <x:v>已簽退</x:v>
      </x:c>
      <x:c r="G65" s="15" t="str">
        <x:v>SITE-C</x:v>
      </x:c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</x:row>
    <x:row r="66">
      <x:c r="A66" s="1" t="str">
        <x:v>DEMO-0013</x:v>
      </x:c>
      <x:c r="B66" s="1" t="str">
        <x:v>E01</x:v>
      </x:c>
      <x:c r="C66" s="13" t="d">
        <x:v>2025-05-16T00:00:00.000Z</x:v>
      </x:c>
      <x:c r="D66" s="1" t="str">
        <x:v>09:00</x:v>
      </x:c>
      <x:c r="E66" s="14" t="n">
        <x:v>300</x:v>
      </x:c>
      <x:c r="F66" s="1" t="str">
        <x:v>已簽退</x:v>
      </x:c>
      <x:c r="G66" s="1" t="str">
        <x:v>SITE-A</x:v>
      </x:c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</x:row>
    <x:row r="67">
      <x:c r="A67" s="15" t="str">
        <x:v>DEMO-0033</x:v>
      </x:c>
      <x:c r="B67" s="15" t="str">
        <x:v>E02</x:v>
      </x:c>
      <x:c r="C67" s="16" t="d">
        <x:v>2025-05-16T00:00:00.000Z</x:v>
      </x:c>
      <x:c r="D67" s="15" t="str">
        <x:v>09:00</x:v>
      </x:c>
      <x:c r="E67" s="17" t="n">
        <x:v>300</x:v>
      </x:c>
      <x:c r="F67" s="15" t="str">
        <x:v>已簽退</x:v>
      </x:c>
      <x:c r="G67" s="15" t="str">
        <x:v>SITE-B</x:v>
      </x:c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</x:row>
    <x:row r="68">
      <x:c r="A68" s="1" t="str">
        <x:v>DEMO-0054</x:v>
      </x:c>
      <x:c r="B68" s="1" t="str">
        <x:v>E03</x:v>
      </x:c>
      <x:c r="C68" s="13" t="d">
        <x:v>2025-05-16T00:00:00.000Z</x:v>
      </x:c>
      <x:c r="D68" s="1" t="str">
        <x:v>09:00</x:v>
      </x:c>
      <x:c r="E68" s="14" t="n">
        <x:v>420</x:v>
      </x:c>
      <x:c r="F68" s="1" t="str">
        <x:v>已簽退</x:v>
      </x:c>
      <x:c r="G68" s="1" t="str">
        <x:v>SITE-C</x:v>
      </x:c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</x:row>
    <x:row r="69">
      <x:c r="A69" s="15" t="str">
        <x:v>DEMO-0084</x:v>
      </x:c>
      <x:c r="B69" s="15" t="str">
        <x:v>E05</x:v>
      </x:c>
      <x:c r="C69" s="16" t="d">
        <x:v>2025-05-17T00:00:00.000Z</x:v>
      </x:c>
      <x:c r="D69" s="15" t="str">
        <x:v>09:00</x:v>
      </x:c>
      <x:c r="E69" s="17" t="n">
        <x:v>360</x:v>
      </x:c>
      <x:c r="F69" s="15" t="str">
        <x:v>已簽退</x:v>
      </x:c>
      <x:c r="G69" s="15" t="str">
        <x:v>SITE-C</x:v>
      </x:c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</x:row>
    <x:row r="70">
      <x:c r="A70" s="1" t="str">
        <x:v>DEMO-0014</x:v>
      </x:c>
      <x:c r="B70" s="1" t="str">
        <x:v>E01</x:v>
      </x:c>
      <x:c r="C70" s="13" t="d">
        <x:v>2025-05-19T00:00:00.000Z</x:v>
      </x:c>
      <x:c r="D70" s="1" t="str">
        <x:v>09:00</x:v>
      </x:c>
      <x:c r="E70" s="14" t="n">
        <x:v>300</x:v>
      </x:c>
      <x:c r="F70" s="1" t="str">
        <x:v>已簽退</x:v>
      </x:c>
      <x:c r="G70" s="1" t="str">
        <x:v>SITE-A</x:v>
      </x:c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</x:row>
    <x:row r="71">
      <x:c r="A71" s="15" t="str">
        <x:v>DEMO-0034</x:v>
      </x:c>
      <x:c r="B71" s="15" t="str">
        <x:v>E02</x:v>
      </x:c>
      <x:c r="C71" s="16" t="d">
        <x:v>2025-05-19T00:00:00.000Z</x:v>
      </x:c>
      <x:c r="D71" s="15" t="str">
        <x:v>09:00</x:v>
      </x:c>
      <x:c r="E71" s="17" t="n">
        <x:v>300</x:v>
      </x:c>
      <x:c r="F71" s="15" t="str">
        <x:v>已簽退</x:v>
      </x:c>
      <x:c r="G71" s="15" t="str">
        <x:v>SITE-B</x:v>
      </x:c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</x:row>
    <x:row r="72">
      <x:c r="A72" s="1" t="str">
        <x:v>DEMO-0055</x:v>
      </x:c>
      <x:c r="B72" s="1" t="str">
        <x:v>E03</x:v>
      </x:c>
      <x:c r="C72" s="13" t="d">
        <x:v>2025-05-19T00:00:00.000Z</x:v>
      </x:c>
      <x:c r="D72" s="1" t="str">
        <x:v>09:00</x:v>
      </x:c>
      <x:c r="E72" s="14" t="n">
        <x:v>420</x:v>
      </x:c>
      <x:c r="F72" s="1" t="str">
        <x:v>已簽退</x:v>
      </x:c>
      <x:c r="G72" s="1" t="str">
        <x:v>SITE-C</x:v>
      </x:c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</x:row>
    <x:row r="73">
      <x:c r="A73" s="15" t="str">
        <x:v>DEMO-0015</x:v>
      </x:c>
      <x:c r="B73" s="15" t="str">
        <x:v>E01</x:v>
      </x:c>
      <x:c r="C73" s="16" t="d">
        <x:v>2025-05-20T00:00:00.000Z</x:v>
      </x:c>
      <x:c r="D73" s="15" t="str">
        <x:v>09:00</x:v>
      </x:c>
      <x:c r="E73" s="17" t="n">
        <x:v>300</x:v>
      </x:c>
      <x:c r="F73" s="15" t="str">
        <x:v>已簽退</x:v>
      </x:c>
      <x:c r="G73" s="15" t="str">
        <x:v>SITE-A</x:v>
      </x:c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</x:row>
    <x:row r="74">
      <x:c r="A74" s="1" t="str">
        <x:v>DEMO-0035</x:v>
      </x:c>
      <x:c r="B74" s="1" t="str">
        <x:v>E02</x:v>
      </x:c>
      <x:c r="C74" s="13" t="d">
        <x:v>2025-05-20T00:00:00.000Z</x:v>
      </x:c>
      <x:c r="D74" s="1" t="str">
        <x:v>09:00</x:v>
      </x:c>
      <x:c r="E74" s="14" t="n">
        <x:v>300</x:v>
      </x:c>
      <x:c r="F74" s="1" t="str">
        <x:v>已簽退</x:v>
      </x:c>
      <x:c r="G74" s="1" t="str">
        <x:v>SITE-B</x:v>
      </x:c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</x:row>
    <x:row r="75">
      <x:c r="A75" s="15" t="str">
        <x:v>DEMO-0056</x:v>
      </x:c>
      <x:c r="B75" s="15" t="str">
        <x:v>E03</x:v>
      </x:c>
      <x:c r="C75" s="16" t="d">
        <x:v>2025-05-20T00:00:00.000Z</x:v>
      </x:c>
      <x:c r="D75" s="15" t="str">
        <x:v>09:00</x:v>
      </x:c>
      <x:c r="E75" s="17" t="n">
        <x:v>420</x:v>
      </x:c>
      <x:c r="F75" s="15" t="str">
        <x:v>已簽退</x:v>
      </x:c>
      <x:c r="G75" s="15" t="str">
        <x:v>SITE-C</x:v>
      </x:c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</x:row>
    <x:row r="76">
      <x:c r="A76" s="1" t="str">
        <x:v>DEMO-0016</x:v>
      </x:c>
      <x:c r="B76" s="1" t="str">
        <x:v>E01</x:v>
      </x:c>
      <x:c r="C76" s="13" t="d">
        <x:v>2025-05-21T00:00:00.000Z</x:v>
      </x:c>
      <x:c r="D76" s="1" t="str">
        <x:v>09:00</x:v>
      </x:c>
      <x:c r="E76" s="14" t="n">
        <x:v>300</x:v>
      </x:c>
      <x:c r="F76" s="1" t="str">
        <x:v>已簽退</x:v>
      </x:c>
      <x:c r="G76" s="1" t="str">
        <x:v>SITE-A</x:v>
      </x:c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</x:row>
    <x:row r="77">
      <x:c r="A77" s="15" t="str">
        <x:v>DEMO-0036</x:v>
      </x:c>
      <x:c r="B77" s="15" t="str">
        <x:v>E02</x:v>
      </x:c>
      <x:c r="C77" s="16" t="d">
        <x:v>2025-05-21T00:00:00.000Z</x:v>
      </x:c>
      <x:c r="D77" s="15" t="str">
        <x:v>09:00</x:v>
      </x:c>
      <x:c r="E77" s="17" t="n">
        <x:v>300</x:v>
      </x:c>
      <x:c r="F77" s="15" t="str">
        <x:v>已簽退</x:v>
      </x:c>
      <x:c r="G77" s="15" t="str">
        <x:v>SITE-B</x:v>
      </x:c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</x:row>
    <x:row r="78">
      <x:c r="A78" s="1" t="str">
        <x:v>DEMO-0057</x:v>
      </x:c>
      <x:c r="B78" s="1" t="str">
        <x:v>E03</x:v>
      </x:c>
      <x:c r="C78" s="13" t="d">
        <x:v>2025-05-21T00:00:00.000Z</x:v>
      </x:c>
      <x:c r="D78" s="1" t="str">
        <x:v>09:00</x:v>
      </x:c>
      <x:c r="E78" s="14" t="n">
        <x:v>420</x:v>
      </x:c>
      <x:c r="F78" s="1" t="str">
        <x:v>已簽退</x:v>
      </x:c>
      <x:c r="G78" s="1" t="str">
        <x:v>SITE-C</x:v>
      </x:c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</x:row>
    <x:row r="79">
      <x:c r="A79" s="15" t="str">
        <x:v>DEMO-0017</x:v>
      </x:c>
      <x:c r="B79" s="15" t="str">
        <x:v>E01</x:v>
      </x:c>
      <x:c r="C79" s="16" t="d">
        <x:v>2025-05-22T00:00:00.000Z</x:v>
      </x:c>
      <x:c r="D79" s="15" t="str">
        <x:v>09:00</x:v>
      </x:c>
      <x:c r="E79" s="17" t="n">
        <x:v>300</x:v>
      </x:c>
      <x:c r="F79" s="15" t="str">
        <x:v>已簽退</x:v>
      </x:c>
      <x:c r="G79" s="15" t="str">
        <x:v>SITE-A</x:v>
      </x:c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</x:row>
    <x:row r="80">
      <x:c r="A80" s="1" t="str">
        <x:v>DEMO-0037</x:v>
      </x:c>
      <x:c r="B80" s="1" t="str">
        <x:v>E02</x:v>
      </x:c>
      <x:c r="C80" s="13" t="d">
        <x:v>2025-05-22T00:00:00.000Z</x:v>
      </x:c>
      <x:c r="D80" s="1" t="str">
        <x:v>09:00</x:v>
      </x:c>
      <x:c r="E80" s="14" t="n">
        <x:v>300</x:v>
      </x:c>
      <x:c r="F80" s="1" t="str">
        <x:v>已簽退</x:v>
      </x:c>
      <x:c r="G80" s="1" t="str">
        <x:v>SITE-B</x:v>
      </x:c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</x:row>
    <x:row r="81">
      <x:c r="A81" s="15" t="str">
        <x:v>DEMO-0058</x:v>
      </x:c>
      <x:c r="B81" s="15" t="str">
        <x:v>E03</x:v>
      </x:c>
      <x:c r="C81" s="16" t="d">
        <x:v>2025-05-22T00:00:00.000Z</x:v>
      </x:c>
      <x:c r="D81" s="15" t="str">
        <x:v>09:00</x:v>
      </x:c>
      <x:c r="E81" s="17" t="n">
        <x:v>420</x:v>
      </x:c>
      <x:c r="F81" s="15" t="str">
        <x:v>已簽退</x:v>
      </x:c>
      <x:c r="G81" s="15" t="str">
        <x:v>SITE-C</x:v>
      </x:c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</x:row>
    <x:row r="82">
      <x:c r="A82" s="1" t="str">
        <x:v>DEMO-0018</x:v>
      </x:c>
      <x:c r="B82" s="1" t="str">
        <x:v>E01</x:v>
      </x:c>
      <x:c r="C82" s="13" t="d">
        <x:v>2025-05-23T00:00:00.000Z</x:v>
      </x:c>
      <x:c r="D82" s="1" t="str">
        <x:v>09:00</x:v>
      </x:c>
      <x:c r="E82" s="14" t="n">
        <x:v>300</x:v>
      </x:c>
      <x:c r="F82" s="1" t="str">
        <x:v>已簽退</x:v>
      </x:c>
      <x:c r="G82" s="1" t="str">
        <x:v>SITE-A</x:v>
      </x:c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</x:row>
    <x:row r="83">
      <x:c r="A83" s="15" t="str">
        <x:v>DEMO-0038</x:v>
      </x:c>
      <x:c r="B83" s="15" t="str">
        <x:v>E02</x:v>
      </x:c>
      <x:c r="C83" s="16" t="d">
        <x:v>2025-05-23T00:00:00.000Z</x:v>
      </x:c>
      <x:c r="D83" s="15" t="str">
        <x:v>09:00</x:v>
      </x:c>
      <x:c r="E83" s="17" t="n">
        <x:v>300</x:v>
      </x:c>
      <x:c r="F83" s="15" t="str">
        <x:v>已簽退</x:v>
      </x:c>
      <x:c r="G83" s="15" t="str">
        <x:v>SITE-B</x:v>
      </x:c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</x:row>
    <x:row r="84">
      <x:c r="A84" s="1" t="str">
        <x:v>DEMO-0059</x:v>
      </x:c>
      <x:c r="B84" s="1" t="str">
        <x:v>E03</x:v>
      </x:c>
      <x:c r="C84" s="13" t="d">
        <x:v>2025-05-23T00:00:00.000Z</x:v>
      </x:c>
      <x:c r="D84" s="1" t="str">
        <x:v>09:00</x:v>
      </x:c>
      <x:c r="E84" s="14" t="n">
        <x:v>480</x:v>
      </x:c>
      <x:c r="F84" s="1" t="str">
        <x:v>已簽退</x:v>
      </x:c>
      <x:c r="G84" s="1" t="str">
        <x:v>SITE-C</x:v>
      </x:c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</x:row>
    <x:row r="85">
      <x:c r="A85" s="15" t="str">
        <x:v>DEMO-0019</x:v>
      </x:c>
      <x:c r="B85" s="15" t="str">
        <x:v>E01</x:v>
      </x:c>
      <x:c r="C85" s="16" t="d">
        <x:v>2025-05-26T00:00:00.000Z</x:v>
      </x:c>
      <x:c r="D85" s="15" t="str">
        <x:v>09:00</x:v>
      </x:c>
      <x:c r="E85" s="17" t="n">
        <x:v>300</x:v>
      </x:c>
      <x:c r="F85" s="15" t="str">
        <x:v>已簽退</x:v>
      </x:c>
      <x:c r="G85" s="15" t="str">
        <x:v>SITE-A</x:v>
      </x:c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</x:row>
    <x:row r="86">
      <x:c r="A86" s="1" t="str">
        <x:v>DEMO-0039</x:v>
      </x:c>
      <x:c r="B86" s="1" t="str">
        <x:v>E02</x:v>
      </x:c>
      <x:c r="C86" s="13" t="d">
        <x:v>2025-05-26T00:00:00.000Z</x:v>
      </x:c>
      <x:c r="D86" s="1" t="str">
        <x:v>09:00</x:v>
      </x:c>
      <x:c r="E86" s="14" t="n">
        <x:v>300</x:v>
      </x:c>
      <x:c r="F86" s="1" t="str">
        <x:v>已簽退</x:v>
      </x:c>
      <x:c r="G86" s="1" t="str">
        <x:v>SITE-B</x:v>
      </x:c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</x:row>
    <x:row r="87">
      <x:c r="A87" s="15" t="str">
        <x:v>DEMO-0020</x:v>
      </x:c>
      <x:c r="B87" s="15" t="str">
        <x:v>E01</x:v>
      </x:c>
      <x:c r="C87" s="16" t="d">
        <x:v>2025-05-27T00:00:00.000Z</x:v>
      </x:c>
      <x:c r="D87" s="15" t="str">
        <x:v>09:00</x:v>
      </x:c>
      <x:c r="E87" s="17" t="n">
        <x:v>300</x:v>
      </x:c>
      <x:c r="F87" s="15" t="str">
        <x:v>已簽退</x:v>
      </x:c>
      <x:c r="G87" s="15" t="str">
        <x:v>SITE-A</x:v>
      </x:c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</x:row>
    <x:row r="88">
      <x:c r="A88" s="1" t="str">
        <x:v>DEMO-0040</x:v>
      </x:c>
      <x:c r="B88" s="1" t="str">
        <x:v>E02</x:v>
      </x:c>
      <x:c r="C88" s="13" t="d">
        <x:v>2025-05-27T00:00:00.000Z</x:v>
      </x:c>
      <x:c r="D88" s="1" t="str">
        <x:v>09:00</x:v>
      </x:c>
      <x:c r="E88" s="14" t="n">
        <x:v>300</x:v>
      </x:c>
      <x:c r="F88" s="1" t="str">
        <x:v>已簽退</x:v>
      </x:c>
      <x:c r="G88" s="1" t="str">
        <x:v>SITE-B</x:v>
      </x:c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</x:row>
    <x:row r="89">
      <x:c r="A89" s="15" t="str">
        <x:v>DEMO-0021</x:v>
      </x:c>
      <x:c r="B89" s="15" t="str">
        <x:v>E01</x:v>
      </x:c>
      <x:c r="C89" s="16" t="d">
        <x:v>2025-05-28T00:00:00.000Z</x:v>
      </x:c>
      <x:c r="D89" s="15" t="str">
        <x:v>09:00</x:v>
      </x:c>
      <x:c r="E89" s="17" t="n">
        <x:v>300</x:v>
      </x:c>
      <x:c r="F89" s="15" t="str">
        <x:v>已簽退</x:v>
      </x:c>
      <x:c r="G89" s="15" t="str">
        <x:v>SITE-A</x:v>
      </x:c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</x:row>
    <x:row r="90">
      <x:c r="A90" s="1" t="str">
        <x:v>DEMO-0085</x:v>
      </x:c>
      <x:c r="B90" s="1" t="str">
        <x:v>E02</x:v>
      </x:c>
      <x:c r="C90" s="13" t="d">
        <x:v>2025-05-31T00:00:00.000Z</x:v>
      </x:c>
      <x:c r="D90" s="1" t="str">
        <x:v>09:00</x:v>
      </x:c>
      <x:c r="E90" s="14" t="n">
        <x:v>60</x:v>
      </x:c>
      <x:c r="F90" s="1" t="str">
        <x:v>取消</x:v>
      </x:c>
      <x:c r="G90" s="1" t="str">
        <x:v>SITE-B</x:v>
      </x:c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</x:row>
  </x:sheetData>
  <x:pageMargins left="0.7" right="0.7" top="0.75" bottom="0.75" header="0.3" footer="0.3"/>
</x:worksheet>
</file>